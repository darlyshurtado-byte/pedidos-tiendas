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cciones" sheetId="1" state="visible" r:id="rId3"/>
    <sheet name="Listas" sheetId="2" state="visible" r:id="rId4"/>
    <sheet name="Maestro" sheetId="3" state="visible" r:id="rId5"/>
    <sheet name="Tienda Demo" sheetId="4" state="visible" r:id="rId6"/>
  </sheets>
  <definedNames>
    <definedName function="false" hidden="true" localSheetId="2" name="_xlnm._FilterDatabase" vbProcedure="false">Maestro!$A$1:$I$300</definedName>
    <definedName function="false" hidden="true" localSheetId="3" name="_xlnm._FilterDatabase" vbProcedure="false">'Tienda Demo'!$A$1:$I$300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Opcional. Cópialo del empaque (13 números). Los productos a granel no tienen.</t>
        </r>
      </text>
    </comment>
    <comment ref="I1" authorId="0">
      <text>
        <r>
          <rPr>
            <sz val="10"/>
            <rFont val="Arial"/>
            <family val="2"/>
          </rPr>
          <t xml:space="preserve">Unidad: se vende por empaque o pieza.
Peso: se vende por libras y cuartos de libra (granel). Para Peso, deja vacíos empaque, contenido y medida.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Tu código del Maestro. Escógelo de la lista.</t>
        </r>
      </text>
    </comment>
    <comment ref="B1" authorId="0">
      <text>
        <r>
          <rPr>
            <sz val="10"/>
            <rFont val="Arial"/>
            <family val="2"/>
          </rPr>
          <t xml:space="preserve">Opcional: el código que usa el tendero para este producto, si tiene.</t>
        </r>
      </text>
    </comment>
    <comment ref="H1" authorId="0">
      <text>
        <r>
          <rPr>
            <sz val="10"/>
            <rFont val="Arial"/>
            <family val="2"/>
          </rPr>
          <t xml:space="preserve">Precio de venta de ESTA tienda. Para productos por Peso: precio de 1 libra.</t>
        </r>
      </text>
    </comment>
  </commentList>
</comments>
</file>

<file path=xl/sharedStrings.xml><?xml version="1.0" encoding="utf-8"?>
<sst xmlns="http://schemas.openxmlformats.org/spreadsheetml/2006/main" count="184" uniqueCount="89">
  <si>
    <t xml:space="preserve">Cómo usar este archivo</t>
  </si>
  <si>
    <t xml:space="preserve">1. Listas: opciones de las listas desplegables (líneas, empaques, medidas, marcas). Agrega nuevas al final de cada columna.</t>
  </si>
  <si>
    <t xml:space="preserve">2. Maestro: tu catálogo de productos, sin precios. Un producto por fila, con un código interno único (P001, P002…).</t>
  </si>
  <si>
    <t xml:space="preserve">   se_vende_por: Unidad (por empaque o pieza) o Peso (granel, por libras y cuartos). Para Peso deja vacíos empaque, contenido y medida.</t>
  </si>
  <si>
    <t xml:space="preserve">   codigo_barras: opcional, se copia del empaque. Los productos a granel no tienen.</t>
  </si>
  <si>
    <t xml:space="preserve">3. Una hoja por tienda (ej. Tienda Demo): llenas solo las columnas amarillas.</t>
  </si>
  <si>
    <t xml:space="preserve">   codigo: tu código del Maestro, escógelo de la lista. codigo_tienda: opcional, el código del tendero si tiene. Lo demás se llena solo.</t>
  </si>
  <si>
    <t xml:space="preserve">   precio: precio de venta de esa tienda, solo el número (ej. 5000). Para Peso, el precio de 1 libra.</t>
  </si>
  <si>
    <t xml:space="preserve">   disponible: Sí o No. Con No, el producto no aparece en la página, pero no se borra.</t>
  </si>
  <si>
    <t xml:space="preserve">4. Para una tienda nueva: clic derecho en la pestaña Tienda Demo &gt; Mover o copiar &gt; Crear una copia, y cámbiale el nombre.</t>
  </si>
  <si>
    <t xml:space="preserve">Los precios de Tienda Demo son de ejemplo.</t>
  </si>
  <si>
    <t xml:space="preserve">linea</t>
  </si>
  <si>
    <t xml:space="preserve">empaque</t>
  </si>
  <si>
    <t xml:space="preserve">medida</t>
  </si>
  <si>
    <t xml:space="preserve">marca</t>
  </si>
  <si>
    <t xml:space="preserve">se_vende_por</t>
  </si>
  <si>
    <t xml:space="preserve">disponible</t>
  </si>
  <si>
    <t xml:space="preserve">Lácteos</t>
  </si>
  <si>
    <t xml:space="preserve">Unidad</t>
  </si>
  <si>
    <t xml:space="preserve">ml</t>
  </si>
  <si>
    <t xml:space="preserve">Alquería</t>
  </si>
  <si>
    <t xml:space="preserve">Sí</t>
  </si>
  <si>
    <t xml:space="preserve">Despensa</t>
  </si>
  <si>
    <t xml:space="preserve">Bolsa</t>
  </si>
  <si>
    <t xml:space="preserve">litro</t>
  </si>
  <si>
    <t xml:space="preserve">Colanta</t>
  </si>
  <si>
    <t xml:space="preserve">Peso</t>
  </si>
  <si>
    <t xml:space="preserve">No</t>
  </si>
  <si>
    <t xml:space="preserve">Bebidas</t>
  </si>
  <si>
    <t xml:space="preserve">Botella plástica</t>
  </si>
  <si>
    <t xml:space="preserve">g</t>
  </si>
  <si>
    <t xml:space="preserve">Cristal</t>
  </si>
  <si>
    <t xml:space="preserve">Aseo</t>
  </si>
  <si>
    <t xml:space="preserve">Botella vidrio</t>
  </si>
  <si>
    <t xml:space="preserve">kg</t>
  </si>
  <si>
    <t xml:space="preserve">Diana</t>
  </si>
  <si>
    <t xml:space="preserve">Panadería</t>
  </si>
  <si>
    <t xml:space="preserve">Caja</t>
  </si>
  <si>
    <t xml:space="preserve">libra</t>
  </si>
  <si>
    <t xml:space="preserve">El Rey</t>
  </si>
  <si>
    <t xml:space="preserve">Fruver</t>
  </si>
  <si>
    <t xml:space="preserve">Lata</t>
  </si>
  <si>
    <t xml:space="preserve">unidades</t>
  </si>
  <si>
    <t xml:space="preserve">La Constancia</t>
  </si>
  <si>
    <t xml:space="preserve">Carnes</t>
  </si>
  <si>
    <t xml:space="preserve">Paca</t>
  </si>
  <si>
    <t xml:space="preserve">huevos</t>
  </si>
  <si>
    <t xml:space="preserve">Olivetto</t>
  </si>
  <si>
    <t xml:space="preserve">Snacks</t>
  </si>
  <si>
    <t xml:space="preserve">Cubeta</t>
  </si>
  <si>
    <t xml:space="preserve">Ricocina</t>
  </si>
  <si>
    <t xml:space="preserve">Granos</t>
  </si>
  <si>
    <t xml:space="preserve">Frasco</t>
  </si>
  <si>
    <t xml:space="preserve">Samario</t>
  </si>
  <si>
    <t xml:space="preserve">Sobre</t>
  </si>
  <si>
    <t xml:space="preserve">Tarro</t>
  </si>
  <si>
    <t xml:space="preserve">codigo</t>
  </si>
  <si>
    <t xml:space="preserve">codigo_barras</t>
  </si>
  <si>
    <t xml:space="preserve">producto</t>
  </si>
  <si>
    <t xml:space="preserve">contenido</t>
  </si>
  <si>
    <t xml:space="preserve">P001</t>
  </si>
  <si>
    <t xml:space="preserve">Vinagre blanco</t>
  </si>
  <si>
    <t xml:space="preserve">P002</t>
  </si>
  <si>
    <t xml:space="preserve">7702511000014</t>
  </si>
  <si>
    <t xml:space="preserve">Arroz</t>
  </si>
  <si>
    <t xml:space="preserve">P003</t>
  </si>
  <si>
    <t xml:space="preserve">Agua</t>
  </si>
  <si>
    <t xml:space="preserve">P004</t>
  </si>
  <si>
    <t xml:space="preserve">Huevos AA</t>
  </si>
  <si>
    <t xml:space="preserve">P005</t>
  </si>
  <si>
    <t xml:space="preserve">Pan de bono</t>
  </si>
  <si>
    <t xml:space="preserve">P006</t>
  </si>
  <si>
    <t xml:space="preserve">Leche</t>
  </si>
  <si>
    <t xml:space="preserve">P007</t>
  </si>
  <si>
    <t xml:space="preserve">Leche en polvo</t>
  </si>
  <si>
    <t xml:space="preserve">P008</t>
  </si>
  <si>
    <t xml:space="preserve">Aceite de oliva</t>
  </si>
  <si>
    <t xml:space="preserve">P009</t>
  </si>
  <si>
    <t xml:space="preserve">Aceite vegetal</t>
  </si>
  <si>
    <t xml:space="preserve">P010</t>
  </si>
  <si>
    <t xml:space="preserve">Condimento comino</t>
  </si>
  <si>
    <t xml:space="preserve">P011</t>
  </si>
  <si>
    <t xml:space="preserve">P012</t>
  </si>
  <si>
    <t xml:space="preserve">Carne molida</t>
  </si>
  <si>
    <t xml:space="preserve">P013</t>
  </si>
  <si>
    <t xml:space="preserve">Queso costeño</t>
  </si>
  <si>
    <t xml:space="preserve">codigo_tienda</t>
  </si>
  <si>
    <t xml:space="preserve">presentacion</t>
  </si>
  <si>
    <t xml:space="preserve">precio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</si>
</sst>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4C5C"/>
        <bgColor rgb="FF333333"/>
      </patternFill>
    </fill>
    <fill>
      <patternFill patternType="solid">
        <fgColor rgb="FFB8860B"/>
        <bgColor rgb="FFFF9900"/>
      </patternFill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E1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F4C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5E1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8"/>
  </cols>
  <sheetData>
    <row r="1" customFormat="false" ht="1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</row>
    <row r="2" customFormat="false" ht="1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18</v>
      </c>
      <c r="F2" s="3" t="s">
        <v>21</v>
      </c>
    </row>
    <row r="3" customFormat="false" ht="15" hidden="false" customHeight="tru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</row>
    <row r="4" customFormat="false" ht="15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31</v>
      </c>
    </row>
    <row r="5" customFormat="false" ht="15" hidden="false" customHeight="true" outlineLevel="0" collapsed="false">
      <c r="A5" s="3" t="s">
        <v>32</v>
      </c>
      <c r="B5" s="3" t="s">
        <v>33</v>
      </c>
      <c r="C5" s="3" t="s">
        <v>34</v>
      </c>
      <c r="D5" s="3" t="s">
        <v>35</v>
      </c>
    </row>
    <row r="6" customFormat="false" ht="15" hidden="false" customHeight="true" outlineLevel="0" collapsed="false">
      <c r="A6" s="3" t="s">
        <v>36</v>
      </c>
      <c r="B6" s="3" t="s">
        <v>37</v>
      </c>
      <c r="C6" s="3" t="s">
        <v>38</v>
      </c>
      <c r="D6" s="3" t="s">
        <v>39</v>
      </c>
    </row>
    <row r="7" customFormat="false" ht="15" hidden="false" customHeight="true" outlineLevel="0" collapsed="false">
      <c r="A7" s="3" t="s">
        <v>40</v>
      </c>
      <c r="B7" s="3" t="s">
        <v>41</v>
      </c>
      <c r="C7" s="3" t="s">
        <v>42</v>
      </c>
      <c r="D7" s="3" t="s">
        <v>43</v>
      </c>
    </row>
    <row r="8" customFormat="false" ht="15" hidden="false" customHeight="true" outlineLevel="0" collapsed="false">
      <c r="A8" s="3" t="s">
        <v>44</v>
      </c>
      <c r="B8" s="3" t="s">
        <v>45</v>
      </c>
      <c r="C8" s="3" t="s">
        <v>46</v>
      </c>
      <c r="D8" s="3" t="s">
        <v>47</v>
      </c>
    </row>
    <row r="9" customFormat="false" ht="15" hidden="false" customHeight="true" outlineLevel="0" collapsed="false">
      <c r="A9" s="3" t="s">
        <v>48</v>
      </c>
      <c r="B9" s="3" t="s">
        <v>49</v>
      </c>
      <c r="D9" s="3" t="s">
        <v>50</v>
      </c>
    </row>
    <row r="10" customFormat="false" ht="15" hidden="false" customHeight="true" outlineLevel="0" collapsed="false">
      <c r="A10" s="3" t="s">
        <v>51</v>
      </c>
      <c r="B10" s="3" t="s">
        <v>52</v>
      </c>
      <c r="D10" s="3" t="s">
        <v>53</v>
      </c>
    </row>
    <row r="11" customFormat="false" ht="15" hidden="false" customHeight="true" outlineLevel="0" collapsed="false">
      <c r="B11" s="3" t="s">
        <v>54</v>
      </c>
    </row>
    <row r="12" customFormat="false" ht="15" hidden="false" customHeight="true" outlineLevel="0" collapsed="false">
      <c r="B12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7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7"/>
    <col collapsed="false" customWidth="true" hidden="false" outlineLevel="0" max="7" min="6" style="1" width="11"/>
    <col collapsed="false" customWidth="true" hidden="false" outlineLevel="0" max="8" min="8" style="1" width="13"/>
    <col collapsed="false" customWidth="true" hidden="false" outlineLevel="0" max="9" min="9" style="1" width="14"/>
  </cols>
  <sheetData>
    <row r="1" customFormat="false" ht="21.75" hidden="false" customHeight="true" outlineLevel="0" collapsed="false">
      <c r="A1" s="5" t="s">
        <v>56</v>
      </c>
      <c r="B1" s="5" t="s">
        <v>57</v>
      </c>
      <c r="C1" s="5" t="s">
        <v>58</v>
      </c>
      <c r="D1" s="5" t="s">
        <v>14</v>
      </c>
      <c r="E1" s="5" t="s">
        <v>12</v>
      </c>
      <c r="F1" s="5" t="s">
        <v>59</v>
      </c>
      <c r="G1" s="5" t="s">
        <v>13</v>
      </c>
      <c r="H1" s="5" t="s">
        <v>11</v>
      </c>
      <c r="I1" s="5" t="s">
        <v>15</v>
      </c>
    </row>
    <row r="2" customFormat="false" ht="15" hidden="false" customHeight="true" outlineLevel="0" collapsed="false">
      <c r="A2" s="6" t="s">
        <v>60</v>
      </c>
      <c r="B2" s="7"/>
      <c r="C2" s="6" t="s">
        <v>61</v>
      </c>
      <c r="D2" s="6" t="s">
        <v>50</v>
      </c>
      <c r="E2" s="6" t="s">
        <v>29</v>
      </c>
      <c r="F2" s="8" t="n">
        <v>500</v>
      </c>
      <c r="G2" s="6" t="s">
        <v>19</v>
      </c>
      <c r="H2" s="6" t="s">
        <v>22</v>
      </c>
      <c r="I2" s="6" t="s">
        <v>18</v>
      </c>
    </row>
    <row r="3" customFormat="false" ht="15" hidden="false" customHeight="true" outlineLevel="0" collapsed="false">
      <c r="A3" s="6" t="s">
        <v>62</v>
      </c>
      <c r="B3" s="7" t="s">
        <v>63</v>
      </c>
      <c r="C3" s="6" t="s">
        <v>64</v>
      </c>
      <c r="D3" s="6" t="s">
        <v>35</v>
      </c>
      <c r="E3" s="6" t="s">
        <v>23</v>
      </c>
      <c r="F3" s="8" t="n">
        <v>1</v>
      </c>
      <c r="G3" s="6" t="s">
        <v>38</v>
      </c>
      <c r="H3" s="6" t="s">
        <v>22</v>
      </c>
      <c r="I3" s="6" t="s">
        <v>18</v>
      </c>
    </row>
    <row r="4" customFormat="false" ht="15" hidden="false" customHeight="true" outlineLevel="0" collapsed="false">
      <c r="A4" s="6" t="s">
        <v>65</v>
      </c>
      <c r="B4" s="7"/>
      <c r="C4" s="6" t="s">
        <v>66</v>
      </c>
      <c r="D4" s="6" t="s">
        <v>31</v>
      </c>
      <c r="E4" s="6" t="s">
        <v>45</v>
      </c>
      <c r="F4" s="8" t="n">
        <v>6</v>
      </c>
      <c r="G4" s="6" t="s">
        <v>42</v>
      </c>
      <c r="H4" s="6" t="s">
        <v>28</v>
      </c>
      <c r="I4" s="6" t="s">
        <v>18</v>
      </c>
    </row>
    <row r="5" customFormat="false" ht="15" hidden="false" customHeight="true" outlineLevel="0" collapsed="false">
      <c r="A5" s="6" t="s">
        <v>67</v>
      </c>
      <c r="B5" s="7"/>
      <c r="C5" s="6" t="s">
        <v>68</v>
      </c>
      <c r="D5" s="6"/>
      <c r="E5" s="6" t="s">
        <v>49</v>
      </c>
      <c r="F5" s="8" t="n">
        <v>30</v>
      </c>
      <c r="G5" s="6" t="s">
        <v>46</v>
      </c>
      <c r="H5" s="6" t="s">
        <v>22</v>
      </c>
      <c r="I5" s="6" t="s">
        <v>18</v>
      </c>
    </row>
    <row r="6" customFormat="false" ht="15" hidden="false" customHeight="true" outlineLevel="0" collapsed="false">
      <c r="A6" s="6" t="s">
        <v>69</v>
      </c>
      <c r="B6" s="7"/>
      <c r="C6" s="6" t="s">
        <v>70</v>
      </c>
      <c r="D6" s="6"/>
      <c r="E6" s="6" t="s">
        <v>18</v>
      </c>
      <c r="F6" s="8"/>
      <c r="G6" s="6"/>
      <c r="H6" s="6" t="s">
        <v>36</v>
      </c>
      <c r="I6" s="6" t="s">
        <v>18</v>
      </c>
    </row>
    <row r="7" customFormat="false" ht="15" hidden="false" customHeight="true" outlineLevel="0" collapsed="false">
      <c r="A7" s="6" t="s">
        <v>71</v>
      </c>
      <c r="B7" s="7"/>
      <c r="C7" s="6" t="s">
        <v>72</v>
      </c>
      <c r="D7" s="6" t="s">
        <v>20</v>
      </c>
      <c r="E7" s="6" t="s">
        <v>23</v>
      </c>
      <c r="F7" s="8" t="n">
        <v>500</v>
      </c>
      <c r="G7" s="6" t="s">
        <v>19</v>
      </c>
      <c r="H7" s="6" t="s">
        <v>17</v>
      </c>
      <c r="I7" s="6" t="s">
        <v>18</v>
      </c>
    </row>
    <row r="8" customFormat="false" ht="15" hidden="false" customHeight="true" outlineLevel="0" collapsed="false">
      <c r="A8" s="6" t="s">
        <v>73</v>
      </c>
      <c r="B8" s="7"/>
      <c r="C8" s="6" t="s">
        <v>74</v>
      </c>
      <c r="D8" s="6" t="s">
        <v>20</v>
      </c>
      <c r="E8" s="6" t="s">
        <v>23</v>
      </c>
      <c r="F8" s="8" t="n">
        <v>250</v>
      </c>
      <c r="G8" s="6" t="s">
        <v>30</v>
      </c>
      <c r="H8" s="6" t="s">
        <v>17</v>
      </c>
      <c r="I8" s="6" t="s">
        <v>18</v>
      </c>
    </row>
    <row r="9" customFormat="false" ht="15" hidden="false" customHeight="true" outlineLevel="0" collapsed="false">
      <c r="A9" s="6" t="s">
        <v>75</v>
      </c>
      <c r="B9" s="7"/>
      <c r="C9" s="6" t="s">
        <v>76</v>
      </c>
      <c r="D9" s="6" t="s">
        <v>47</v>
      </c>
      <c r="E9" s="6" t="s">
        <v>33</v>
      </c>
      <c r="F9" s="8" t="n">
        <v>500</v>
      </c>
      <c r="G9" s="6" t="s">
        <v>19</v>
      </c>
      <c r="H9" s="6" t="s">
        <v>22</v>
      </c>
      <c r="I9" s="6" t="s">
        <v>18</v>
      </c>
    </row>
    <row r="10" customFormat="false" ht="15" hidden="false" customHeight="true" outlineLevel="0" collapsed="false">
      <c r="A10" s="6" t="s">
        <v>77</v>
      </c>
      <c r="B10" s="7"/>
      <c r="C10" s="6" t="s">
        <v>78</v>
      </c>
      <c r="D10" s="6" t="s">
        <v>53</v>
      </c>
      <c r="E10" s="6" t="s">
        <v>29</v>
      </c>
      <c r="F10" s="8" t="n">
        <v>500</v>
      </c>
      <c r="G10" s="6" t="s">
        <v>19</v>
      </c>
      <c r="H10" s="6" t="s">
        <v>22</v>
      </c>
      <c r="I10" s="6" t="s">
        <v>18</v>
      </c>
    </row>
    <row r="11" customFormat="false" ht="15" hidden="false" customHeight="true" outlineLevel="0" collapsed="false">
      <c r="A11" s="6" t="s">
        <v>79</v>
      </c>
      <c r="B11" s="7"/>
      <c r="C11" s="6" t="s">
        <v>80</v>
      </c>
      <c r="D11" s="6" t="s">
        <v>39</v>
      </c>
      <c r="E11" s="6" t="s">
        <v>37</v>
      </c>
      <c r="F11" s="8" t="n">
        <v>250</v>
      </c>
      <c r="G11" s="6" t="s">
        <v>30</v>
      </c>
      <c r="H11" s="6" t="s">
        <v>22</v>
      </c>
      <c r="I11" s="6" t="s">
        <v>18</v>
      </c>
    </row>
    <row r="12" customFormat="false" ht="15" hidden="false" customHeight="true" outlineLevel="0" collapsed="false">
      <c r="A12" s="6" t="s">
        <v>81</v>
      </c>
      <c r="B12" s="7"/>
      <c r="C12" s="6" t="s">
        <v>61</v>
      </c>
      <c r="D12" s="6" t="s">
        <v>43</v>
      </c>
      <c r="E12" s="6" t="s">
        <v>29</v>
      </c>
      <c r="F12" s="8" t="n">
        <v>500</v>
      </c>
      <c r="G12" s="6" t="s">
        <v>19</v>
      </c>
      <c r="H12" s="6" t="s">
        <v>22</v>
      </c>
      <c r="I12" s="6" t="s">
        <v>18</v>
      </c>
    </row>
    <row r="13" customFormat="false" ht="15" hidden="false" customHeight="true" outlineLevel="0" collapsed="false">
      <c r="A13" s="6" t="s">
        <v>82</v>
      </c>
      <c r="B13" s="7"/>
      <c r="C13" s="6" t="s">
        <v>83</v>
      </c>
      <c r="D13" s="6"/>
      <c r="E13" s="6"/>
      <c r="F13" s="8"/>
      <c r="G13" s="6"/>
      <c r="H13" s="6" t="s">
        <v>44</v>
      </c>
      <c r="I13" s="6" t="s">
        <v>26</v>
      </c>
    </row>
    <row r="14" customFormat="false" ht="15" hidden="false" customHeight="true" outlineLevel="0" collapsed="false">
      <c r="A14" s="6" t="s">
        <v>84</v>
      </c>
      <c r="B14" s="7"/>
      <c r="C14" s="6" t="s">
        <v>85</v>
      </c>
      <c r="D14" s="6"/>
      <c r="E14" s="6"/>
      <c r="F14" s="8"/>
      <c r="G14" s="6"/>
      <c r="H14" s="6" t="s">
        <v>17</v>
      </c>
      <c r="I14" s="6" t="s">
        <v>26</v>
      </c>
    </row>
    <row r="15" customFormat="false" ht="15" hidden="false" customHeight="true" outlineLevel="0" collapsed="false">
      <c r="A15" s="6"/>
      <c r="B15" s="7"/>
      <c r="C15" s="6"/>
      <c r="D15" s="6"/>
      <c r="E15" s="6"/>
      <c r="F15" s="8"/>
      <c r="G15" s="6"/>
      <c r="H15" s="6"/>
      <c r="I15" s="6"/>
    </row>
    <row r="16" customFormat="false" ht="15" hidden="false" customHeight="true" outlineLevel="0" collapsed="false">
      <c r="A16" s="6"/>
      <c r="B16" s="7"/>
      <c r="C16" s="6"/>
      <c r="D16" s="6"/>
      <c r="E16" s="6"/>
      <c r="F16" s="8"/>
      <c r="G16" s="6"/>
      <c r="H16" s="6"/>
      <c r="I16" s="6"/>
    </row>
    <row r="17" customFormat="false" ht="15" hidden="false" customHeight="true" outlineLevel="0" collapsed="false">
      <c r="A17" s="6"/>
      <c r="B17" s="7"/>
      <c r="C17" s="6"/>
      <c r="D17" s="6"/>
      <c r="E17" s="6"/>
      <c r="F17" s="8"/>
      <c r="G17" s="6"/>
      <c r="H17" s="6"/>
      <c r="I17" s="6"/>
    </row>
    <row r="18" customFormat="false" ht="15" hidden="false" customHeight="true" outlineLevel="0" collapsed="false">
      <c r="A18" s="6"/>
      <c r="B18" s="7"/>
      <c r="C18" s="6"/>
      <c r="D18" s="6"/>
      <c r="E18" s="6"/>
      <c r="F18" s="8"/>
      <c r="G18" s="6"/>
      <c r="H18" s="6"/>
      <c r="I18" s="6"/>
    </row>
    <row r="19" customFormat="false" ht="15" hidden="false" customHeight="true" outlineLevel="0" collapsed="false">
      <c r="A19" s="6"/>
      <c r="B19" s="7"/>
      <c r="C19" s="6"/>
      <c r="D19" s="6"/>
      <c r="E19" s="6"/>
      <c r="F19" s="8"/>
      <c r="G19" s="6"/>
      <c r="H19" s="6"/>
      <c r="I19" s="6"/>
    </row>
    <row r="20" customFormat="false" ht="15" hidden="false" customHeight="true" outlineLevel="0" collapsed="false">
      <c r="A20" s="6"/>
      <c r="B20" s="7"/>
      <c r="C20" s="6"/>
      <c r="D20" s="6"/>
      <c r="E20" s="6"/>
      <c r="F20" s="8"/>
      <c r="G20" s="6"/>
      <c r="H20" s="6"/>
      <c r="I20" s="6"/>
    </row>
    <row r="21" customFormat="false" ht="15" hidden="false" customHeight="true" outlineLevel="0" collapsed="false">
      <c r="A21" s="6"/>
      <c r="B21" s="7"/>
      <c r="C21" s="6"/>
      <c r="D21" s="6"/>
      <c r="E21" s="6"/>
      <c r="F21" s="8"/>
      <c r="G21" s="6"/>
      <c r="H21" s="6"/>
      <c r="I21" s="6"/>
    </row>
    <row r="22" customFormat="false" ht="15" hidden="false" customHeight="true" outlineLevel="0" collapsed="false">
      <c r="A22" s="6"/>
      <c r="B22" s="7"/>
      <c r="C22" s="6"/>
      <c r="D22" s="6"/>
      <c r="E22" s="6"/>
      <c r="F22" s="8"/>
      <c r="G22" s="6"/>
      <c r="H22" s="6"/>
      <c r="I22" s="6"/>
    </row>
    <row r="23" customFormat="false" ht="15" hidden="false" customHeight="true" outlineLevel="0" collapsed="false">
      <c r="A23" s="6"/>
      <c r="B23" s="7"/>
      <c r="C23" s="6"/>
      <c r="D23" s="6"/>
      <c r="E23" s="6"/>
      <c r="F23" s="8"/>
      <c r="G23" s="6"/>
      <c r="H23" s="6"/>
      <c r="I23" s="6"/>
    </row>
    <row r="24" customFormat="false" ht="15" hidden="false" customHeight="true" outlineLevel="0" collapsed="false">
      <c r="A24" s="6"/>
      <c r="B24" s="7"/>
      <c r="C24" s="6"/>
      <c r="D24" s="6"/>
      <c r="E24" s="6"/>
      <c r="F24" s="8"/>
      <c r="G24" s="6"/>
      <c r="H24" s="6"/>
      <c r="I24" s="6"/>
    </row>
    <row r="25" customFormat="false" ht="15" hidden="false" customHeight="true" outlineLevel="0" collapsed="false">
      <c r="A25" s="6"/>
      <c r="B25" s="7"/>
      <c r="C25" s="6"/>
      <c r="D25" s="6"/>
      <c r="E25" s="6"/>
      <c r="F25" s="8"/>
      <c r="G25" s="6"/>
      <c r="H25" s="6"/>
      <c r="I25" s="6"/>
    </row>
    <row r="26" customFormat="false" ht="15" hidden="false" customHeight="true" outlineLevel="0" collapsed="false">
      <c r="A26" s="6"/>
      <c r="B26" s="7"/>
      <c r="C26" s="6"/>
      <c r="D26" s="6"/>
      <c r="E26" s="6"/>
      <c r="F26" s="8"/>
      <c r="G26" s="6"/>
      <c r="H26" s="6"/>
      <c r="I26" s="6"/>
    </row>
    <row r="27" customFormat="false" ht="15" hidden="false" customHeight="true" outlineLevel="0" collapsed="false">
      <c r="A27" s="6"/>
      <c r="B27" s="7"/>
      <c r="C27" s="6"/>
      <c r="D27" s="6"/>
      <c r="E27" s="6"/>
      <c r="F27" s="8"/>
      <c r="G27" s="6"/>
      <c r="H27" s="6"/>
      <c r="I27" s="6"/>
    </row>
    <row r="28" customFormat="false" ht="15" hidden="false" customHeight="true" outlineLevel="0" collapsed="false">
      <c r="A28" s="6"/>
      <c r="B28" s="7"/>
      <c r="C28" s="6"/>
      <c r="D28" s="6"/>
      <c r="E28" s="6"/>
      <c r="F28" s="8"/>
      <c r="G28" s="6"/>
      <c r="H28" s="6"/>
      <c r="I28" s="6"/>
    </row>
    <row r="29" customFormat="false" ht="15" hidden="false" customHeight="true" outlineLevel="0" collapsed="false">
      <c r="A29" s="6"/>
      <c r="B29" s="7"/>
      <c r="C29" s="6"/>
      <c r="D29" s="6"/>
      <c r="E29" s="6"/>
      <c r="F29" s="8"/>
      <c r="G29" s="6"/>
      <c r="H29" s="6"/>
      <c r="I29" s="6"/>
    </row>
    <row r="30" customFormat="false" ht="15" hidden="false" customHeight="true" outlineLevel="0" collapsed="false">
      <c r="A30" s="6"/>
      <c r="B30" s="7"/>
      <c r="C30" s="6"/>
      <c r="D30" s="6"/>
      <c r="E30" s="6"/>
      <c r="F30" s="8"/>
      <c r="G30" s="6"/>
      <c r="H30" s="6"/>
      <c r="I30" s="6"/>
    </row>
    <row r="31" customFormat="false" ht="15" hidden="false" customHeight="true" outlineLevel="0" collapsed="false">
      <c r="A31" s="6"/>
      <c r="B31" s="7"/>
      <c r="C31" s="6"/>
      <c r="D31" s="6"/>
      <c r="E31" s="6"/>
      <c r="F31" s="8"/>
      <c r="G31" s="6"/>
      <c r="H31" s="6"/>
      <c r="I31" s="6"/>
    </row>
    <row r="32" customFormat="false" ht="15" hidden="false" customHeight="true" outlineLevel="0" collapsed="false">
      <c r="A32" s="6"/>
      <c r="B32" s="7"/>
      <c r="C32" s="6"/>
      <c r="D32" s="6"/>
      <c r="E32" s="6"/>
      <c r="F32" s="8"/>
      <c r="G32" s="6"/>
      <c r="H32" s="6"/>
      <c r="I32" s="6"/>
    </row>
    <row r="33" customFormat="false" ht="15" hidden="false" customHeight="true" outlineLevel="0" collapsed="false">
      <c r="A33" s="6"/>
      <c r="B33" s="7"/>
      <c r="C33" s="6"/>
      <c r="D33" s="6"/>
      <c r="E33" s="6"/>
      <c r="F33" s="8"/>
      <c r="G33" s="6"/>
      <c r="H33" s="6"/>
      <c r="I33" s="6"/>
    </row>
    <row r="34" customFormat="false" ht="15" hidden="false" customHeight="true" outlineLevel="0" collapsed="false">
      <c r="A34" s="6"/>
      <c r="B34" s="7"/>
      <c r="C34" s="6"/>
      <c r="D34" s="6"/>
      <c r="E34" s="6"/>
      <c r="F34" s="8"/>
      <c r="G34" s="6"/>
      <c r="H34" s="6"/>
      <c r="I34" s="6"/>
    </row>
    <row r="35" customFormat="false" ht="15" hidden="false" customHeight="true" outlineLevel="0" collapsed="false">
      <c r="A35" s="6"/>
      <c r="B35" s="7"/>
      <c r="C35" s="6"/>
      <c r="D35" s="6"/>
      <c r="E35" s="6"/>
      <c r="F35" s="8"/>
      <c r="G35" s="6"/>
      <c r="H35" s="6"/>
      <c r="I35" s="6"/>
    </row>
    <row r="36" customFormat="false" ht="15" hidden="false" customHeight="true" outlineLevel="0" collapsed="false">
      <c r="A36" s="6"/>
      <c r="B36" s="7"/>
      <c r="C36" s="6"/>
      <c r="D36" s="6"/>
      <c r="E36" s="6"/>
      <c r="F36" s="8"/>
      <c r="G36" s="6"/>
      <c r="H36" s="6"/>
      <c r="I36" s="6"/>
    </row>
    <row r="37" customFormat="false" ht="15" hidden="false" customHeight="true" outlineLevel="0" collapsed="false">
      <c r="A37" s="6"/>
      <c r="B37" s="7"/>
      <c r="C37" s="6"/>
      <c r="D37" s="6"/>
      <c r="E37" s="6"/>
      <c r="F37" s="8"/>
      <c r="G37" s="6"/>
      <c r="H37" s="6"/>
      <c r="I37" s="6"/>
    </row>
    <row r="38" customFormat="false" ht="15" hidden="false" customHeight="true" outlineLevel="0" collapsed="false">
      <c r="A38" s="6"/>
      <c r="B38" s="7"/>
      <c r="C38" s="6"/>
      <c r="D38" s="6"/>
      <c r="E38" s="6"/>
      <c r="F38" s="8"/>
      <c r="G38" s="6"/>
      <c r="H38" s="6"/>
      <c r="I38" s="6"/>
    </row>
    <row r="39" customFormat="false" ht="15" hidden="false" customHeight="true" outlineLevel="0" collapsed="false">
      <c r="A39" s="6"/>
      <c r="B39" s="7"/>
      <c r="C39" s="6"/>
      <c r="D39" s="6"/>
      <c r="E39" s="6"/>
      <c r="F39" s="8"/>
      <c r="G39" s="6"/>
      <c r="H39" s="6"/>
      <c r="I39" s="6"/>
    </row>
    <row r="40" customFormat="false" ht="15" hidden="false" customHeight="true" outlineLevel="0" collapsed="false">
      <c r="A40" s="6"/>
      <c r="B40" s="7"/>
      <c r="C40" s="6"/>
      <c r="D40" s="6"/>
      <c r="E40" s="6"/>
      <c r="F40" s="8"/>
      <c r="G40" s="6"/>
      <c r="H40" s="6"/>
      <c r="I40" s="6"/>
    </row>
    <row r="41" customFormat="false" ht="15" hidden="false" customHeight="true" outlineLevel="0" collapsed="false">
      <c r="A41" s="6"/>
      <c r="B41" s="7"/>
      <c r="C41" s="6"/>
      <c r="D41" s="6"/>
      <c r="E41" s="6"/>
      <c r="F41" s="8"/>
      <c r="G41" s="6"/>
      <c r="H41" s="6"/>
      <c r="I41" s="6"/>
    </row>
    <row r="42" customFormat="false" ht="15" hidden="false" customHeight="true" outlineLevel="0" collapsed="false">
      <c r="A42" s="6"/>
      <c r="B42" s="7"/>
      <c r="C42" s="6"/>
      <c r="D42" s="6"/>
      <c r="E42" s="6"/>
      <c r="F42" s="8"/>
      <c r="G42" s="6"/>
      <c r="H42" s="6"/>
      <c r="I42" s="6"/>
    </row>
    <row r="43" customFormat="false" ht="15" hidden="false" customHeight="true" outlineLevel="0" collapsed="false">
      <c r="A43" s="6"/>
      <c r="B43" s="7"/>
      <c r="C43" s="6"/>
      <c r="D43" s="6"/>
      <c r="E43" s="6"/>
      <c r="F43" s="8"/>
      <c r="G43" s="6"/>
      <c r="H43" s="6"/>
      <c r="I43" s="6"/>
    </row>
    <row r="44" customFormat="false" ht="15" hidden="false" customHeight="true" outlineLevel="0" collapsed="false">
      <c r="A44" s="6"/>
      <c r="B44" s="7"/>
      <c r="C44" s="6"/>
      <c r="D44" s="6"/>
      <c r="E44" s="6"/>
      <c r="F44" s="8"/>
      <c r="G44" s="6"/>
      <c r="H44" s="6"/>
      <c r="I44" s="6"/>
    </row>
    <row r="45" customFormat="false" ht="15" hidden="false" customHeight="true" outlineLevel="0" collapsed="false">
      <c r="A45" s="6"/>
      <c r="B45" s="7"/>
      <c r="C45" s="6"/>
      <c r="D45" s="6"/>
      <c r="E45" s="6"/>
      <c r="F45" s="8"/>
      <c r="G45" s="6"/>
      <c r="H45" s="6"/>
      <c r="I45" s="6"/>
    </row>
    <row r="46" customFormat="false" ht="15" hidden="false" customHeight="true" outlineLevel="0" collapsed="false">
      <c r="A46" s="6"/>
      <c r="B46" s="7"/>
      <c r="C46" s="6"/>
      <c r="D46" s="6"/>
      <c r="E46" s="6"/>
      <c r="F46" s="8"/>
      <c r="G46" s="6"/>
      <c r="H46" s="6"/>
      <c r="I46" s="6"/>
    </row>
    <row r="47" customFormat="false" ht="15" hidden="false" customHeight="true" outlineLevel="0" collapsed="false">
      <c r="A47" s="6"/>
      <c r="B47" s="7"/>
      <c r="C47" s="6"/>
      <c r="D47" s="6"/>
      <c r="E47" s="6"/>
      <c r="F47" s="8"/>
      <c r="G47" s="6"/>
      <c r="H47" s="6"/>
      <c r="I47" s="6"/>
    </row>
    <row r="48" customFormat="false" ht="15" hidden="false" customHeight="true" outlineLevel="0" collapsed="false">
      <c r="A48" s="6"/>
      <c r="B48" s="7"/>
      <c r="C48" s="6"/>
      <c r="D48" s="6"/>
      <c r="E48" s="6"/>
      <c r="F48" s="8"/>
      <c r="G48" s="6"/>
      <c r="H48" s="6"/>
      <c r="I48" s="6"/>
    </row>
    <row r="49" customFormat="false" ht="15" hidden="false" customHeight="true" outlineLevel="0" collapsed="false">
      <c r="A49" s="6"/>
      <c r="B49" s="7"/>
      <c r="C49" s="6"/>
      <c r="D49" s="6"/>
      <c r="E49" s="6"/>
      <c r="F49" s="8"/>
      <c r="G49" s="6"/>
      <c r="H49" s="6"/>
      <c r="I49" s="6"/>
    </row>
    <row r="50" customFormat="false" ht="15" hidden="false" customHeight="true" outlineLevel="0" collapsed="false">
      <c r="A50" s="6"/>
      <c r="B50" s="7"/>
      <c r="C50" s="6"/>
      <c r="D50" s="6"/>
      <c r="E50" s="6"/>
      <c r="F50" s="8"/>
      <c r="G50" s="6"/>
      <c r="H50" s="6"/>
      <c r="I50" s="6"/>
    </row>
    <row r="51" customFormat="false" ht="15" hidden="false" customHeight="true" outlineLevel="0" collapsed="false">
      <c r="A51" s="6"/>
      <c r="B51" s="7"/>
      <c r="C51" s="6"/>
      <c r="D51" s="6"/>
      <c r="E51" s="6"/>
      <c r="F51" s="8"/>
      <c r="G51" s="6"/>
      <c r="H51" s="6"/>
      <c r="I51" s="6"/>
    </row>
    <row r="52" customFormat="false" ht="15" hidden="false" customHeight="true" outlineLevel="0" collapsed="false">
      <c r="A52" s="6"/>
      <c r="B52" s="7"/>
      <c r="C52" s="6"/>
      <c r="D52" s="6"/>
      <c r="E52" s="6"/>
      <c r="F52" s="8"/>
      <c r="G52" s="6"/>
      <c r="H52" s="6"/>
      <c r="I52" s="6"/>
    </row>
    <row r="53" customFormat="false" ht="15" hidden="false" customHeight="true" outlineLevel="0" collapsed="false">
      <c r="A53" s="6"/>
      <c r="B53" s="7"/>
      <c r="C53" s="6"/>
      <c r="D53" s="6"/>
      <c r="E53" s="6"/>
      <c r="F53" s="8"/>
      <c r="G53" s="6"/>
      <c r="H53" s="6"/>
      <c r="I53" s="6"/>
    </row>
    <row r="54" customFormat="false" ht="15" hidden="false" customHeight="true" outlineLevel="0" collapsed="false">
      <c r="A54" s="6"/>
      <c r="B54" s="7"/>
      <c r="C54" s="6"/>
      <c r="D54" s="6"/>
      <c r="E54" s="6"/>
      <c r="F54" s="8"/>
      <c r="G54" s="6"/>
      <c r="H54" s="6"/>
      <c r="I54" s="6"/>
    </row>
    <row r="55" customFormat="false" ht="15" hidden="false" customHeight="true" outlineLevel="0" collapsed="false">
      <c r="A55" s="6"/>
      <c r="B55" s="7"/>
      <c r="C55" s="6"/>
      <c r="D55" s="6"/>
      <c r="E55" s="6"/>
      <c r="F55" s="8"/>
      <c r="G55" s="6"/>
      <c r="H55" s="6"/>
      <c r="I55" s="6"/>
    </row>
    <row r="56" customFormat="false" ht="15" hidden="false" customHeight="true" outlineLevel="0" collapsed="false">
      <c r="A56" s="6"/>
      <c r="B56" s="7"/>
      <c r="C56" s="6"/>
      <c r="D56" s="6"/>
      <c r="E56" s="6"/>
      <c r="F56" s="8"/>
      <c r="G56" s="6"/>
      <c r="H56" s="6"/>
      <c r="I56" s="6"/>
    </row>
    <row r="57" customFormat="false" ht="15" hidden="false" customHeight="true" outlineLevel="0" collapsed="false">
      <c r="A57" s="6"/>
      <c r="B57" s="7"/>
      <c r="C57" s="6"/>
      <c r="D57" s="6"/>
      <c r="E57" s="6"/>
      <c r="F57" s="8"/>
      <c r="G57" s="6"/>
      <c r="H57" s="6"/>
      <c r="I57" s="6"/>
    </row>
    <row r="58" customFormat="false" ht="15" hidden="false" customHeight="true" outlineLevel="0" collapsed="false">
      <c r="A58" s="6"/>
      <c r="B58" s="7"/>
      <c r="C58" s="6"/>
      <c r="D58" s="6"/>
      <c r="E58" s="6"/>
      <c r="F58" s="8"/>
      <c r="G58" s="6"/>
      <c r="H58" s="6"/>
      <c r="I58" s="6"/>
    </row>
    <row r="59" customFormat="false" ht="15" hidden="false" customHeight="true" outlineLevel="0" collapsed="false">
      <c r="A59" s="6"/>
      <c r="B59" s="7"/>
      <c r="C59" s="6"/>
      <c r="D59" s="6"/>
      <c r="E59" s="6"/>
      <c r="F59" s="8"/>
      <c r="G59" s="6"/>
      <c r="H59" s="6"/>
      <c r="I59" s="6"/>
    </row>
    <row r="60" customFormat="false" ht="15" hidden="false" customHeight="true" outlineLevel="0" collapsed="false">
      <c r="A60" s="6"/>
      <c r="B60" s="7"/>
      <c r="C60" s="6"/>
      <c r="D60" s="6"/>
      <c r="E60" s="6"/>
      <c r="F60" s="8"/>
      <c r="G60" s="6"/>
      <c r="H60" s="6"/>
      <c r="I60" s="6"/>
    </row>
    <row r="61" customFormat="false" ht="15" hidden="false" customHeight="true" outlineLevel="0" collapsed="false">
      <c r="A61" s="6"/>
      <c r="B61" s="7"/>
      <c r="C61" s="6"/>
      <c r="D61" s="6"/>
      <c r="E61" s="6"/>
      <c r="F61" s="8"/>
      <c r="G61" s="6"/>
      <c r="H61" s="6"/>
      <c r="I61" s="6"/>
    </row>
    <row r="62" customFormat="false" ht="15" hidden="false" customHeight="true" outlineLevel="0" collapsed="false">
      <c r="A62" s="6"/>
      <c r="B62" s="7"/>
      <c r="C62" s="6"/>
      <c r="D62" s="6"/>
      <c r="E62" s="6"/>
      <c r="F62" s="8"/>
      <c r="G62" s="6"/>
      <c r="H62" s="6"/>
      <c r="I62" s="6"/>
    </row>
    <row r="63" customFormat="false" ht="15" hidden="false" customHeight="true" outlineLevel="0" collapsed="false">
      <c r="A63" s="6"/>
      <c r="B63" s="7"/>
      <c r="C63" s="6"/>
      <c r="D63" s="6"/>
      <c r="E63" s="6"/>
      <c r="F63" s="8"/>
      <c r="G63" s="6"/>
      <c r="H63" s="6"/>
      <c r="I63" s="6"/>
    </row>
    <row r="64" customFormat="false" ht="15" hidden="false" customHeight="true" outlineLevel="0" collapsed="false">
      <c r="A64" s="6"/>
      <c r="B64" s="7"/>
      <c r="C64" s="6"/>
      <c r="D64" s="6"/>
      <c r="E64" s="6"/>
      <c r="F64" s="8"/>
      <c r="G64" s="6"/>
      <c r="H64" s="6"/>
      <c r="I64" s="6"/>
    </row>
    <row r="65" customFormat="false" ht="15" hidden="false" customHeight="true" outlineLevel="0" collapsed="false">
      <c r="A65" s="6"/>
      <c r="B65" s="7"/>
      <c r="C65" s="6"/>
      <c r="D65" s="6"/>
      <c r="E65" s="6"/>
      <c r="F65" s="8"/>
      <c r="G65" s="6"/>
      <c r="H65" s="6"/>
      <c r="I65" s="6"/>
    </row>
    <row r="66" customFormat="false" ht="15" hidden="false" customHeight="true" outlineLevel="0" collapsed="false">
      <c r="A66" s="6"/>
      <c r="B66" s="7"/>
      <c r="C66" s="6"/>
      <c r="D66" s="6"/>
      <c r="E66" s="6"/>
      <c r="F66" s="8"/>
      <c r="G66" s="6"/>
      <c r="H66" s="6"/>
      <c r="I66" s="6"/>
    </row>
    <row r="67" customFormat="false" ht="15" hidden="false" customHeight="true" outlineLevel="0" collapsed="false">
      <c r="A67" s="6"/>
      <c r="B67" s="7"/>
      <c r="C67" s="6"/>
      <c r="D67" s="6"/>
      <c r="E67" s="6"/>
      <c r="F67" s="8"/>
      <c r="G67" s="6"/>
      <c r="H67" s="6"/>
      <c r="I67" s="6"/>
    </row>
    <row r="68" customFormat="false" ht="15" hidden="false" customHeight="true" outlineLevel="0" collapsed="false">
      <c r="A68" s="6"/>
      <c r="B68" s="7"/>
      <c r="C68" s="6"/>
      <c r="D68" s="6"/>
      <c r="E68" s="6"/>
      <c r="F68" s="8"/>
      <c r="G68" s="6"/>
      <c r="H68" s="6"/>
      <c r="I68" s="6"/>
    </row>
    <row r="69" customFormat="false" ht="15" hidden="false" customHeight="true" outlineLevel="0" collapsed="false">
      <c r="A69" s="6"/>
      <c r="B69" s="7"/>
      <c r="C69" s="6"/>
      <c r="D69" s="6"/>
      <c r="E69" s="6"/>
      <c r="F69" s="8"/>
      <c r="G69" s="6"/>
      <c r="H69" s="6"/>
      <c r="I69" s="6"/>
    </row>
    <row r="70" customFormat="false" ht="15" hidden="false" customHeight="true" outlineLevel="0" collapsed="false">
      <c r="A70" s="6"/>
      <c r="B70" s="7"/>
      <c r="C70" s="6"/>
      <c r="D70" s="6"/>
      <c r="E70" s="6"/>
      <c r="F70" s="8"/>
      <c r="G70" s="6"/>
      <c r="H70" s="6"/>
      <c r="I70" s="6"/>
    </row>
    <row r="71" customFormat="false" ht="15" hidden="false" customHeight="true" outlineLevel="0" collapsed="false">
      <c r="A71" s="6"/>
      <c r="B71" s="7"/>
      <c r="C71" s="6"/>
      <c r="D71" s="6"/>
      <c r="E71" s="6"/>
      <c r="F71" s="8"/>
      <c r="G71" s="6"/>
      <c r="H71" s="6"/>
      <c r="I71" s="6"/>
    </row>
    <row r="72" customFormat="false" ht="15" hidden="false" customHeight="true" outlineLevel="0" collapsed="false">
      <c r="A72" s="6"/>
      <c r="B72" s="7"/>
      <c r="C72" s="6"/>
      <c r="D72" s="6"/>
      <c r="E72" s="6"/>
      <c r="F72" s="8"/>
      <c r="G72" s="6"/>
      <c r="H72" s="6"/>
      <c r="I72" s="6"/>
    </row>
    <row r="73" customFormat="false" ht="15" hidden="false" customHeight="true" outlineLevel="0" collapsed="false">
      <c r="A73" s="6"/>
      <c r="B73" s="7"/>
      <c r="C73" s="6"/>
      <c r="D73" s="6"/>
      <c r="E73" s="6"/>
      <c r="F73" s="8"/>
      <c r="G73" s="6"/>
      <c r="H73" s="6"/>
      <c r="I73" s="6"/>
    </row>
    <row r="74" customFormat="false" ht="15" hidden="false" customHeight="true" outlineLevel="0" collapsed="false">
      <c r="A74" s="6"/>
      <c r="B74" s="7"/>
      <c r="C74" s="6"/>
      <c r="D74" s="6"/>
      <c r="E74" s="6"/>
      <c r="F74" s="8"/>
      <c r="G74" s="6"/>
      <c r="H74" s="6"/>
      <c r="I74" s="6"/>
    </row>
    <row r="75" customFormat="false" ht="15" hidden="false" customHeight="true" outlineLevel="0" collapsed="false">
      <c r="A75" s="6"/>
      <c r="B75" s="7"/>
      <c r="C75" s="6"/>
      <c r="D75" s="6"/>
      <c r="E75" s="6"/>
      <c r="F75" s="8"/>
      <c r="G75" s="6"/>
      <c r="H75" s="6"/>
      <c r="I75" s="6"/>
    </row>
    <row r="76" customFormat="false" ht="15" hidden="false" customHeight="true" outlineLevel="0" collapsed="false">
      <c r="A76" s="6"/>
      <c r="B76" s="7"/>
      <c r="C76" s="6"/>
      <c r="D76" s="6"/>
      <c r="E76" s="6"/>
      <c r="F76" s="8"/>
      <c r="G76" s="6"/>
      <c r="H76" s="6"/>
      <c r="I76" s="6"/>
    </row>
    <row r="77" customFormat="false" ht="15" hidden="false" customHeight="true" outlineLevel="0" collapsed="false">
      <c r="A77" s="6"/>
      <c r="B77" s="7"/>
      <c r="C77" s="6"/>
      <c r="D77" s="6"/>
      <c r="E77" s="6"/>
      <c r="F77" s="8"/>
      <c r="G77" s="6"/>
      <c r="H77" s="6"/>
      <c r="I77" s="6"/>
    </row>
    <row r="78" customFormat="false" ht="15" hidden="false" customHeight="true" outlineLevel="0" collapsed="false">
      <c r="A78" s="6"/>
      <c r="B78" s="7"/>
      <c r="C78" s="6"/>
      <c r="D78" s="6"/>
      <c r="E78" s="6"/>
      <c r="F78" s="8"/>
      <c r="G78" s="6"/>
      <c r="H78" s="6"/>
      <c r="I78" s="6"/>
    </row>
    <row r="79" customFormat="false" ht="15" hidden="false" customHeight="true" outlineLevel="0" collapsed="false">
      <c r="A79" s="6"/>
      <c r="B79" s="7"/>
      <c r="C79" s="6"/>
      <c r="D79" s="6"/>
      <c r="E79" s="6"/>
      <c r="F79" s="8"/>
      <c r="G79" s="6"/>
      <c r="H79" s="6"/>
      <c r="I79" s="6"/>
    </row>
    <row r="80" customFormat="false" ht="15" hidden="false" customHeight="true" outlineLevel="0" collapsed="false">
      <c r="A80" s="6"/>
      <c r="B80" s="7"/>
      <c r="C80" s="6"/>
      <c r="D80" s="6"/>
      <c r="E80" s="6"/>
      <c r="F80" s="8"/>
      <c r="G80" s="6"/>
      <c r="H80" s="6"/>
      <c r="I80" s="6"/>
    </row>
    <row r="81" customFormat="false" ht="15" hidden="false" customHeight="true" outlineLevel="0" collapsed="false">
      <c r="A81" s="6"/>
      <c r="B81" s="7"/>
      <c r="C81" s="6"/>
      <c r="D81" s="6"/>
      <c r="E81" s="6"/>
      <c r="F81" s="8"/>
      <c r="G81" s="6"/>
      <c r="H81" s="6"/>
      <c r="I81" s="6"/>
    </row>
    <row r="82" customFormat="false" ht="15" hidden="false" customHeight="true" outlineLevel="0" collapsed="false">
      <c r="A82" s="6"/>
      <c r="B82" s="7"/>
      <c r="C82" s="6"/>
      <c r="D82" s="6"/>
      <c r="E82" s="6"/>
      <c r="F82" s="8"/>
      <c r="G82" s="6"/>
      <c r="H82" s="6"/>
      <c r="I82" s="6"/>
    </row>
    <row r="83" customFormat="false" ht="15" hidden="false" customHeight="true" outlineLevel="0" collapsed="false">
      <c r="A83" s="6"/>
      <c r="B83" s="7"/>
      <c r="C83" s="6"/>
      <c r="D83" s="6"/>
      <c r="E83" s="6"/>
      <c r="F83" s="8"/>
      <c r="G83" s="6"/>
      <c r="H83" s="6"/>
      <c r="I83" s="6"/>
    </row>
    <row r="84" customFormat="false" ht="15" hidden="false" customHeight="true" outlineLevel="0" collapsed="false">
      <c r="A84" s="6"/>
      <c r="B84" s="7"/>
      <c r="C84" s="6"/>
      <c r="D84" s="6"/>
      <c r="E84" s="6"/>
      <c r="F84" s="8"/>
      <c r="G84" s="6"/>
      <c r="H84" s="6"/>
      <c r="I84" s="6"/>
    </row>
    <row r="85" customFormat="false" ht="15" hidden="false" customHeight="true" outlineLevel="0" collapsed="false">
      <c r="A85" s="6"/>
      <c r="B85" s="7"/>
      <c r="C85" s="6"/>
      <c r="D85" s="6"/>
      <c r="E85" s="6"/>
      <c r="F85" s="8"/>
      <c r="G85" s="6"/>
      <c r="H85" s="6"/>
      <c r="I85" s="6"/>
    </row>
    <row r="86" customFormat="false" ht="15" hidden="false" customHeight="true" outlineLevel="0" collapsed="false">
      <c r="A86" s="6"/>
      <c r="B86" s="7"/>
      <c r="C86" s="6"/>
      <c r="D86" s="6"/>
      <c r="E86" s="6"/>
      <c r="F86" s="8"/>
      <c r="G86" s="6"/>
      <c r="H86" s="6"/>
      <c r="I86" s="6"/>
    </row>
    <row r="87" customFormat="false" ht="15" hidden="false" customHeight="true" outlineLevel="0" collapsed="false">
      <c r="A87" s="6"/>
      <c r="B87" s="7"/>
      <c r="C87" s="6"/>
      <c r="D87" s="6"/>
      <c r="E87" s="6"/>
      <c r="F87" s="8"/>
      <c r="G87" s="6"/>
      <c r="H87" s="6"/>
      <c r="I87" s="6"/>
    </row>
    <row r="88" customFormat="false" ht="15" hidden="false" customHeight="true" outlineLevel="0" collapsed="false">
      <c r="A88" s="6"/>
      <c r="B88" s="7"/>
      <c r="C88" s="6"/>
      <c r="D88" s="6"/>
      <c r="E88" s="6"/>
      <c r="F88" s="8"/>
      <c r="G88" s="6"/>
      <c r="H88" s="6"/>
      <c r="I88" s="6"/>
    </row>
    <row r="89" customFormat="false" ht="15" hidden="false" customHeight="true" outlineLevel="0" collapsed="false">
      <c r="A89" s="6"/>
      <c r="B89" s="7"/>
      <c r="C89" s="6"/>
      <c r="D89" s="6"/>
      <c r="E89" s="6"/>
      <c r="F89" s="8"/>
      <c r="G89" s="6"/>
      <c r="H89" s="6"/>
      <c r="I89" s="6"/>
    </row>
    <row r="90" customFormat="false" ht="15" hidden="false" customHeight="true" outlineLevel="0" collapsed="false">
      <c r="A90" s="6"/>
      <c r="B90" s="7"/>
      <c r="C90" s="6"/>
      <c r="D90" s="6"/>
      <c r="E90" s="6"/>
      <c r="F90" s="8"/>
      <c r="G90" s="6"/>
      <c r="H90" s="6"/>
      <c r="I90" s="6"/>
    </row>
    <row r="91" customFormat="false" ht="15" hidden="false" customHeight="true" outlineLevel="0" collapsed="false">
      <c r="A91" s="6"/>
      <c r="B91" s="7"/>
      <c r="C91" s="6"/>
      <c r="D91" s="6"/>
      <c r="E91" s="6"/>
      <c r="F91" s="8"/>
      <c r="G91" s="6"/>
      <c r="H91" s="6"/>
      <c r="I91" s="6"/>
    </row>
    <row r="92" customFormat="false" ht="15" hidden="false" customHeight="true" outlineLevel="0" collapsed="false">
      <c r="A92" s="6"/>
      <c r="B92" s="7"/>
      <c r="C92" s="6"/>
      <c r="D92" s="6"/>
      <c r="E92" s="6"/>
      <c r="F92" s="8"/>
      <c r="G92" s="6"/>
      <c r="H92" s="6"/>
      <c r="I92" s="6"/>
    </row>
    <row r="93" customFormat="false" ht="15" hidden="false" customHeight="true" outlineLevel="0" collapsed="false">
      <c r="A93" s="6"/>
      <c r="B93" s="7"/>
      <c r="C93" s="6"/>
      <c r="D93" s="6"/>
      <c r="E93" s="6"/>
      <c r="F93" s="8"/>
      <c r="G93" s="6"/>
      <c r="H93" s="6"/>
      <c r="I93" s="6"/>
    </row>
    <row r="94" customFormat="false" ht="15" hidden="false" customHeight="true" outlineLevel="0" collapsed="false">
      <c r="A94" s="6"/>
      <c r="B94" s="7"/>
      <c r="C94" s="6"/>
      <c r="D94" s="6"/>
      <c r="E94" s="6"/>
      <c r="F94" s="8"/>
      <c r="G94" s="6"/>
      <c r="H94" s="6"/>
      <c r="I94" s="6"/>
    </row>
    <row r="95" customFormat="false" ht="15" hidden="false" customHeight="true" outlineLevel="0" collapsed="false">
      <c r="A95" s="6"/>
      <c r="B95" s="7"/>
      <c r="C95" s="6"/>
      <c r="D95" s="6"/>
      <c r="E95" s="6"/>
      <c r="F95" s="8"/>
      <c r="G95" s="6"/>
      <c r="H95" s="6"/>
      <c r="I95" s="6"/>
    </row>
    <row r="96" customFormat="false" ht="15" hidden="false" customHeight="true" outlineLevel="0" collapsed="false">
      <c r="A96" s="6"/>
      <c r="B96" s="7"/>
      <c r="C96" s="6"/>
      <c r="D96" s="6"/>
      <c r="E96" s="6"/>
      <c r="F96" s="8"/>
      <c r="G96" s="6"/>
      <c r="H96" s="6"/>
      <c r="I96" s="6"/>
    </row>
    <row r="97" customFormat="false" ht="15" hidden="false" customHeight="true" outlineLevel="0" collapsed="false">
      <c r="A97" s="6"/>
      <c r="B97" s="7"/>
      <c r="C97" s="6"/>
      <c r="D97" s="6"/>
      <c r="E97" s="6"/>
      <c r="F97" s="8"/>
      <c r="G97" s="6"/>
      <c r="H97" s="6"/>
      <c r="I97" s="6"/>
    </row>
    <row r="98" customFormat="false" ht="15" hidden="false" customHeight="true" outlineLevel="0" collapsed="false">
      <c r="A98" s="6"/>
      <c r="B98" s="7"/>
      <c r="C98" s="6"/>
      <c r="D98" s="6"/>
      <c r="E98" s="6"/>
      <c r="F98" s="8"/>
      <c r="G98" s="6"/>
      <c r="H98" s="6"/>
      <c r="I98" s="6"/>
    </row>
    <row r="99" customFormat="false" ht="15" hidden="false" customHeight="true" outlineLevel="0" collapsed="false">
      <c r="A99" s="6"/>
      <c r="B99" s="7"/>
      <c r="C99" s="6"/>
      <c r="D99" s="6"/>
      <c r="E99" s="6"/>
      <c r="F99" s="8"/>
      <c r="G99" s="6"/>
      <c r="H99" s="6"/>
      <c r="I99" s="6"/>
    </row>
    <row r="100" customFormat="false" ht="15" hidden="false" customHeight="true" outlineLevel="0" collapsed="false">
      <c r="A100" s="6"/>
      <c r="B100" s="7"/>
      <c r="C100" s="6"/>
      <c r="D100" s="6"/>
      <c r="E100" s="6"/>
      <c r="F100" s="8"/>
      <c r="G100" s="6"/>
      <c r="H100" s="6"/>
      <c r="I100" s="6"/>
    </row>
    <row r="101" customFormat="false" ht="15" hidden="false" customHeight="true" outlineLevel="0" collapsed="false">
      <c r="A101" s="6"/>
      <c r="B101" s="7"/>
      <c r="C101" s="6"/>
      <c r="D101" s="6"/>
      <c r="E101" s="6"/>
      <c r="F101" s="8"/>
      <c r="G101" s="6"/>
      <c r="H101" s="6"/>
      <c r="I101" s="6"/>
    </row>
    <row r="102" customFormat="false" ht="15" hidden="false" customHeight="true" outlineLevel="0" collapsed="false">
      <c r="A102" s="6"/>
      <c r="B102" s="7"/>
      <c r="C102" s="6"/>
      <c r="D102" s="6"/>
      <c r="E102" s="6"/>
      <c r="F102" s="8"/>
      <c r="G102" s="6"/>
      <c r="H102" s="6"/>
      <c r="I102" s="6"/>
    </row>
    <row r="103" customFormat="false" ht="15" hidden="false" customHeight="true" outlineLevel="0" collapsed="false">
      <c r="A103" s="6"/>
      <c r="B103" s="7"/>
      <c r="C103" s="6"/>
      <c r="D103" s="6"/>
      <c r="E103" s="6"/>
      <c r="F103" s="8"/>
      <c r="G103" s="6"/>
      <c r="H103" s="6"/>
      <c r="I103" s="6"/>
    </row>
    <row r="104" customFormat="false" ht="15" hidden="false" customHeight="true" outlineLevel="0" collapsed="false">
      <c r="A104" s="6"/>
      <c r="B104" s="7"/>
      <c r="C104" s="6"/>
      <c r="D104" s="6"/>
      <c r="E104" s="6"/>
      <c r="F104" s="8"/>
      <c r="G104" s="6"/>
      <c r="H104" s="6"/>
      <c r="I104" s="6"/>
    </row>
    <row r="105" customFormat="false" ht="15" hidden="false" customHeight="true" outlineLevel="0" collapsed="false">
      <c r="A105" s="6"/>
      <c r="B105" s="7"/>
      <c r="C105" s="6"/>
      <c r="D105" s="6"/>
      <c r="E105" s="6"/>
      <c r="F105" s="8"/>
      <c r="G105" s="6"/>
      <c r="H105" s="6"/>
      <c r="I105" s="6"/>
    </row>
    <row r="106" customFormat="false" ht="15" hidden="false" customHeight="true" outlineLevel="0" collapsed="false">
      <c r="A106" s="6"/>
      <c r="B106" s="7"/>
      <c r="C106" s="6"/>
      <c r="D106" s="6"/>
      <c r="E106" s="6"/>
      <c r="F106" s="8"/>
      <c r="G106" s="6"/>
      <c r="H106" s="6"/>
      <c r="I106" s="6"/>
    </row>
    <row r="107" customFormat="false" ht="15" hidden="false" customHeight="true" outlineLevel="0" collapsed="false">
      <c r="A107" s="6"/>
      <c r="B107" s="7"/>
      <c r="C107" s="6"/>
      <c r="D107" s="6"/>
      <c r="E107" s="6"/>
      <c r="F107" s="8"/>
      <c r="G107" s="6"/>
      <c r="H107" s="6"/>
      <c r="I107" s="6"/>
    </row>
    <row r="108" customFormat="false" ht="15" hidden="false" customHeight="true" outlineLevel="0" collapsed="false">
      <c r="A108" s="6"/>
      <c r="B108" s="7"/>
      <c r="C108" s="6"/>
      <c r="D108" s="6"/>
      <c r="E108" s="6"/>
      <c r="F108" s="8"/>
      <c r="G108" s="6"/>
      <c r="H108" s="6"/>
      <c r="I108" s="6"/>
    </row>
    <row r="109" customFormat="false" ht="15" hidden="false" customHeight="true" outlineLevel="0" collapsed="false">
      <c r="A109" s="6"/>
      <c r="B109" s="7"/>
      <c r="C109" s="6"/>
      <c r="D109" s="6"/>
      <c r="E109" s="6"/>
      <c r="F109" s="8"/>
      <c r="G109" s="6"/>
      <c r="H109" s="6"/>
      <c r="I109" s="6"/>
    </row>
    <row r="110" customFormat="false" ht="15" hidden="false" customHeight="true" outlineLevel="0" collapsed="false">
      <c r="A110" s="6"/>
      <c r="B110" s="7"/>
      <c r="C110" s="6"/>
      <c r="D110" s="6"/>
      <c r="E110" s="6"/>
      <c r="F110" s="8"/>
      <c r="G110" s="6"/>
      <c r="H110" s="6"/>
      <c r="I110" s="6"/>
    </row>
    <row r="111" customFormat="false" ht="15" hidden="false" customHeight="true" outlineLevel="0" collapsed="false">
      <c r="A111" s="6"/>
      <c r="B111" s="7"/>
      <c r="C111" s="6"/>
      <c r="D111" s="6"/>
      <c r="E111" s="6"/>
      <c r="F111" s="8"/>
      <c r="G111" s="6"/>
      <c r="H111" s="6"/>
      <c r="I111" s="6"/>
    </row>
    <row r="112" customFormat="false" ht="15" hidden="false" customHeight="true" outlineLevel="0" collapsed="false">
      <c r="A112" s="6"/>
      <c r="B112" s="7"/>
      <c r="C112" s="6"/>
      <c r="D112" s="6"/>
      <c r="E112" s="6"/>
      <c r="F112" s="8"/>
      <c r="G112" s="6"/>
      <c r="H112" s="6"/>
      <c r="I112" s="6"/>
    </row>
    <row r="113" customFormat="false" ht="15" hidden="false" customHeight="true" outlineLevel="0" collapsed="false">
      <c r="A113" s="6"/>
      <c r="B113" s="7"/>
      <c r="C113" s="6"/>
      <c r="D113" s="6"/>
      <c r="E113" s="6"/>
      <c r="F113" s="8"/>
      <c r="G113" s="6"/>
      <c r="H113" s="6"/>
      <c r="I113" s="6"/>
    </row>
    <row r="114" customFormat="false" ht="15" hidden="false" customHeight="true" outlineLevel="0" collapsed="false">
      <c r="A114" s="6"/>
      <c r="B114" s="7"/>
      <c r="C114" s="6"/>
      <c r="D114" s="6"/>
      <c r="E114" s="6"/>
      <c r="F114" s="8"/>
      <c r="G114" s="6"/>
      <c r="H114" s="6"/>
      <c r="I114" s="6"/>
    </row>
    <row r="115" customFormat="false" ht="15" hidden="false" customHeight="true" outlineLevel="0" collapsed="false">
      <c r="A115" s="6"/>
      <c r="B115" s="7"/>
      <c r="C115" s="6"/>
      <c r="D115" s="6"/>
      <c r="E115" s="6"/>
      <c r="F115" s="8"/>
      <c r="G115" s="6"/>
      <c r="H115" s="6"/>
      <c r="I115" s="6"/>
    </row>
    <row r="116" customFormat="false" ht="15" hidden="false" customHeight="true" outlineLevel="0" collapsed="false">
      <c r="A116" s="6"/>
      <c r="B116" s="7"/>
      <c r="C116" s="6"/>
      <c r="D116" s="6"/>
      <c r="E116" s="6"/>
      <c r="F116" s="8"/>
      <c r="G116" s="6"/>
      <c r="H116" s="6"/>
      <c r="I116" s="6"/>
    </row>
    <row r="117" customFormat="false" ht="15" hidden="false" customHeight="true" outlineLevel="0" collapsed="false">
      <c r="A117" s="6"/>
      <c r="B117" s="7"/>
      <c r="C117" s="6"/>
      <c r="D117" s="6"/>
      <c r="E117" s="6"/>
      <c r="F117" s="8"/>
      <c r="G117" s="6"/>
      <c r="H117" s="6"/>
      <c r="I117" s="6"/>
    </row>
    <row r="118" customFormat="false" ht="15" hidden="false" customHeight="true" outlineLevel="0" collapsed="false">
      <c r="A118" s="6"/>
      <c r="B118" s="7"/>
      <c r="C118" s="6"/>
      <c r="D118" s="6"/>
      <c r="E118" s="6"/>
      <c r="F118" s="8"/>
      <c r="G118" s="6"/>
      <c r="H118" s="6"/>
      <c r="I118" s="6"/>
    </row>
    <row r="119" customFormat="false" ht="15" hidden="false" customHeight="true" outlineLevel="0" collapsed="false">
      <c r="A119" s="6"/>
      <c r="B119" s="7"/>
      <c r="C119" s="6"/>
      <c r="D119" s="6"/>
      <c r="E119" s="6"/>
      <c r="F119" s="8"/>
      <c r="G119" s="6"/>
      <c r="H119" s="6"/>
      <c r="I119" s="6"/>
    </row>
    <row r="120" customFormat="false" ht="15" hidden="false" customHeight="true" outlineLevel="0" collapsed="false">
      <c r="A120" s="6"/>
      <c r="B120" s="7"/>
      <c r="C120" s="6"/>
      <c r="D120" s="6"/>
      <c r="E120" s="6"/>
      <c r="F120" s="8"/>
      <c r="G120" s="6"/>
      <c r="H120" s="6"/>
      <c r="I120" s="6"/>
    </row>
    <row r="121" customFormat="false" ht="15" hidden="false" customHeight="true" outlineLevel="0" collapsed="false">
      <c r="A121" s="6"/>
      <c r="B121" s="7"/>
      <c r="C121" s="6"/>
      <c r="D121" s="6"/>
      <c r="E121" s="6"/>
      <c r="F121" s="8"/>
      <c r="G121" s="6"/>
      <c r="H121" s="6"/>
      <c r="I121" s="6"/>
    </row>
    <row r="122" customFormat="false" ht="15" hidden="false" customHeight="true" outlineLevel="0" collapsed="false">
      <c r="A122" s="6"/>
      <c r="B122" s="7"/>
      <c r="C122" s="6"/>
      <c r="D122" s="6"/>
      <c r="E122" s="6"/>
      <c r="F122" s="8"/>
      <c r="G122" s="6"/>
      <c r="H122" s="6"/>
      <c r="I122" s="6"/>
    </row>
    <row r="123" customFormat="false" ht="15" hidden="false" customHeight="true" outlineLevel="0" collapsed="false">
      <c r="A123" s="6"/>
      <c r="B123" s="7"/>
      <c r="C123" s="6"/>
      <c r="D123" s="6"/>
      <c r="E123" s="6"/>
      <c r="F123" s="8"/>
      <c r="G123" s="6"/>
      <c r="H123" s="6"/>
      <c r="I123" s="6"/>
    </row>
    <row r="124" customFormat="false" ht="15" hidden="false" customHeight="true" outlineLevel="0" collapsed="false">
      <c r="A124" s="6"/>
      <c r="B124" s="7"/>
      <c r="C124" s="6"/>
      <c r="D124" s="6"/>
      <c r="E124" s="6"/>
      <c r="F124" s="8"/>
      <c r="G124" s="6"/>
      <c r="H124" s="6"/>
      <c r="I124" s="6"/>
    </row>
    <row r="125" customFormat="false" ht="15" hidden="false" customHeight="true" outlineLevel="0" collapsed="false">
      <c r="A125" s="6"/>
      <c r="B125" s="7"/>
      <c r="C125" s="6"/>
      <c r="D125" s="6"/>
      <c r="E125" s="6"/>
      <c r="F125" s="8"/>
      <c r="G125" s="6"/>
      <c r="H125" s="6"/>
      <c r="I125" s="6"/>
    </row>
    <row r="126" customFormat="false" ht="15" hidden="false" customHeight="true" outlineLevel="0" collapsed="false">
      <c r="A126" s="6"/>
      <c r="B126" s="7"/>
      <c r="C126" s="6"/>
      <c r="D126" s="6"/>
      <c r="E126" s="6"/>
      <c r="F126" s="8"/>
      <c r="G126" s="6"/>
      <c r="H126" s="6"/>
      <c r="I126" s="6"/>
    </row>
    <row r="127" customFormat="false" ht="15" hidden="false" customHeight="true" outlineLevel="0" collapsed="false">
      <c r="A127" s="6"/>
      <c r="B127" s="7"/>
      <c r="C127" s="6"/>
      <c r="D127" s="6"/>
      <c r="E127" s="6"/>
      <c r="F127" s="8"/>
      <c r="G127" s="6"/>
      <c r="H127" s="6"/>
      <c r="I127" s="6"/>
    </row>
    <row r="128" customFormat="false" ht="15" hidden="false" customHeight="true" outlineLevel="0" collapsed="false">
      <c r="A128" s="6"/>
      <c r="B128" s="7"/>
      <c r="C128" s="6"/>
      <c r="D128" s="6"/>
      <c r="E128" s="6"/>
      <c r="F128" s="8"/>
      <c r="G128" s="6"/>
      <c r="H128" s="6"/>
      <c r="I128" s="6"/>
    </row>
    <row r="129" customFormat="false" ht="15" hidden="false" customHeight="true" outlineLevel="0" collapsed="false">
      <c r="A129" s="6"/>
      <c r="B129" s="7"/>
      <c r="C129" s="6"/>
      <c r="D129" s="6"/>
      <c r="E129" s="6"/>
      <c r="F129" s="8"/>
      <c r="G129" s="6"/>
      <c r="H129" s="6"/>
      <c r="I129" s="6"/>
    </row>
    <row r="130" customFormat="false" ht="15" hidden="false" customHeight="true" outlineLevel="0" collapsed="false">
      <c r="A130" s="6"/>
      <c r="B130" s="7"/>
      <c r="C130" s="6"/>
      <c r="D130" s="6"/>
      <c r="E130" s="6"/>
      <c r="F130" s="8"/>
      <c r="G130" s="6"/>
      <c r="H130" s="6"/>
      <c r="I130" s="6"/>
    </row>
    <row r="131" customFormat="false" ht="15" hidden="false" customHeight="true" outlineLevel="0" collapsed="false">
      <c r="A131" s="6"/>
      <c r="B131" s="7"/>
      <c r="C131" s="6"/>
      <c r="D131" s="6"/>
      <c r="E131" s="6"/>
      <c r="F131" s="8"/>
      <c r="G131" s="6"/>
      <c r="H131" s="6"/>
      <c r="I131" s="6"/>
    </row>
    <row r="132" customFormat="false" ht="15" hidden="false" customHeight="true" outlineLevel="0" collapsed="false">
      <c r="A132" s="6"/>
      <c r="B132" s="7"/>
      <c r="C132" s="6"/>
      <c r="D132" s="6"/>
      <c r="E132" s="6"/>
      <c r="F132" s="8"/>
      <c r="G132" s="6"/>
      <c r="H132" s="6"/>
      <c r="I132" s="6"/>
    </row>
    <row r="133" customFormat="false" ht="15" hidden="false" customHeight="true" outlineLevel="0" collapsed="false">
      <c r="A133" s="6"/>
      <c r="B133" s="7"/>
      <c r="C133" s="6"/>
      <c r="D133" s="6"/>
      <c r="E133" s="6"/>
      <c r="F133" s="8"/>
      <c r="G133" s="6"/>
      <c r="H133" s="6"/>
      <c r="I133" s="6"/>
    </row>
    <row r="134" customFormat="false" ht="15" hidden="false" customHeight="true" outlineLevel="0" collapsed="false">
      <c r="A134" s="6"/>
      <c r="B134" s="7"/>
      <c r="C134" s="6"/>
      <c r="D134" s="6"/>
      <c r="E134" s="6"/>
      <c r="F134" s="8"/>
      <c r="G134" s="6"/>
      <c r="H134" s="6"/>
      <c r="I134" s="6"/>
    </row>
    <row r="135" customFormat="false" ht="15" hidden="false" customHeight="true" outlineLevel="0" collapsed="false">
      <c r="A135" s="6"/>
      <c r="B135" s="7"/>
      <c r="C135" s="6"/>
      <c r="D135" s="6"/>
      <c r="E135" s="6"/>
      <c r="F135" s="8"/>
      <c r="G135" s="6"/>
      <c r="H135" s="6"/>
      <c r="I135" s="6"/>
    </row>
    <row r="136" customFormat="false" ht="15" hidden="false" customHeight="true" outlineLevel="0" collapsed="false">
      <c r="A136" s="6"/>
      <c r="B136" s="7"/>
      <c r="C136" s="6"/>
      <c r="D136" s="6"/>
      <c r="E136" s="6"/>
      <c r="F136" s="8"/>
      <c r="G136" s="6"/>
      <c r="H136" s="6"/>
      <c r="I136" s="6"/>
    </row>
    <row r="137" customFormat="false" ht="15" hidden="false" customHeight="true" outlineLevel="0" collapsed="false">
      <c r="A137" s="6"/>
      <c r="B137" s="7"/>
      <c r="C137" s="6"/>
      <c r="D137" s="6"/>
      <c r="E137" s="6"/>
      <c r="F137" s="8"/>
      <c r="G137" s="6"/>
      <c r="H137" s="6"/>
      <c r="I137" s="6"/>
    </row>
    <row r="138" customFormat="false" ht="15" hidden="false" customHeight="true" outlineLevel="0" collapsed="false">
      <c r="A138" s="6"/>
      <c r="B138" s="7"/>
      <c r="C138" s="6"/>
      <c r="D138" s="6"/>
      <c r="E138" s="6"/>
      <c r="F138" s="8"/>
      <c r="G138" s="6"/>
      <c r="H138" s="6"/>
      <c r="I138" s="6"/>
    </row>
    <row r="139" customFormat="false" ht="15" hidden="false" customHeight="true" outlineLevel="0" collapsed="false">
      <c r="A139" s="6"/>
      <c r="B139" s="7"/>
      <c r="C139" s="6"/>
      <c r="D139" s="6"/>
      <c r="E139" s="6"/>
      <c r="F139" s="8"/>
      <c r="G139" s="6"/>
      <c r="H139" s="6"/>
      <c r="I139" s="6"/>
    </row>
    <row r="140" customFormat="false" ht="15" hidden="false" customHeight="true" outlineLevel="0" collapsed="false">
      <c r="A140" s="6"/>
      <c r="B140" s="7"/>
      <c r="C140" s="6"/>
      <c r="D140" s="6"/>
      <c r="E140" s="6"/>
      <c r="F140" s="8"/>
      <c r="G140" s="6"/>
      <c r="H140" s="6"/>
      <c r="I140" s="6"/>
    </row>
    <row r="141" customFormat="false" ht="15" hidden="false" customHeight="true" outlineLevel="0" collapsed="false">
      <c r="A141" s="6"/>
      <c r="B141" s="7"/>
      <c r="C141" s="6"/>
      <c r="D141" s="6"/>
      <c r="E141" s="6"/>
      <c r="F141" s="8"/>
      <c r="G141" s="6"/>
      <c r="H141" s="6"/>
      <c r="I141" s="6"/>
    </row>
    <row r="142" customFormat="false" ht="15" hidden="false" customHeight="true" outlineLevel="0" collapsed="false">
      <c r="A142" s="6"/>
      <c r="B142" s="7"/>
      <c r="C142" s="6"/>
      <c r="D142" s="6"/>
      <c r="E142" s="6"/>
      <c r="F142" s="8"/>
      <c r="G142" s="6"/>
      <c r="H142" s="6"/>
      <c r="I142" s="6"/>
    </row>
    <row r="143" customFormat="false" ht="15" hidden="false" customHeight="true" outlineLevel="0" collapsed="false">
      <c r="A143" s="6"/>
      <c r="B143" s="7"/>
      <c r="C143" s="6"/>
      <c r="D143" s="6"/>
      <c r="E143" s="6"/>
      <c r="F143" s="8"/>
      <c r="G143" s="6"/>
      <c r="H143" s="6"/>
      <c r="I143" s="6"/>
    </row>
    <row r="144" customFormat="false" ht="15" hidden="false" customHeight="true" outlineLevel="0" collapsed="false">
      <c r="A144" s="6"/>
      <c r="B144" s="7"/>
      <c r="C144" s="6"/>
      <c r="D144" s="6"/>
      <c r="E144" s="6"/>
      <c r="F144" s="8"/>
      <c r="G144" s="6"/>
      <c r="H144" s="6"/>
      <c r="I144" s="6"/>
    </row>
    <row r="145" customFormat="false" ht="15" hidden="false" customHeight="true" outlineLevel="0" collapsed="false">
      <c r="A145" s="6"/>
      <c r="B145" s="7"/>
      <c r="C145" s="6"/>
      <c r="D145" s="6"/>
      <c r="E145" s="6"/>
      <c r="F145" s="8"/>
      <c r="G145" s="6"/>
      <c r="H145" s="6"/>
      <c r="I145" s="6"/>
    </row>
    <row r="146" customFormat="false" ht="15" hidden="false" customHeight="true" outlineLevel="0" collapsed="false">
      <c r="A146" s="6"/>
      <c r="B146" s="7"/>
      <c r="C146" s="6"/>
      <c r="D146" s="6"/>
      <c r="E146" s="6"/>
      <c r="F146" s="8"/>
      <c r="G146" s="6"/>
      <c r="H146" s="6"/>
      <c r="I146" s="6"/>
    </row>
    <row r="147" customFormat="false" ht="15" hidden="false" customHeight="true" outlineLevel="0" collapsed="false">
      <c r="A147" s="6"/>
      <c r="B147" s="7"/>
      <c r="C147" s="6"/>
      <c r="D147" s="6"/>
      <c r="E147" s="6"/>
      <c r="F147" s="8"/>
      <c r="G147" s="6"/>
      <c r="H147" s="6"/>
      <c r="I147" s="6"/>
    </row>
    <row r="148" customFormat="false" ht="15" hidden="false" customHeight="true" outlineLevel="0" collapsed="false">
      <c r="A148" s="6"/>
      <c r="B148" s="7"/>
      <c r="C148" s="6"/>
      <c r="D148" s="6"/>
      <c r="E148" s="6"/>
      <c r="F148" s="8"/>
      <c r="G148" s="6"/>
      <c r="H148" s="6"/>
      <c r="I148" s="6"/>
    </row>
    <row r="149" customFormat="false" ht="15" hidden="false" customHeight="true" outlineLevel="0" collapsed="false">
      <c r="A149" s="6"/>
      <c r="B149" s="7"/>
      <c r="C149" s="6"/>
      <c r="D149" s="6"/>
      <c r="E149" s="6"/>
      <c r="F149" s="8"/>
      <c r="G149" s="6"/>
      <c r="H149" s="6"/>
      <c r="I149" s="6"/>
    </row>
    <row r="150" customFormat="false" ht="15" hidden="false" customHeight="true" outlineLevel="0" collapsed="false">
      <c r="A150" s="6"/>
      <c r="B150" s="7"/>
      <c r="C150" s="6"/>
      <c r="D150" s="6"/>
      <c r="E150" s="6"/>
      <c r="F150" s="8"/>
      <c r="G150" s="6"/>
      <c r="H150" s="6"/>
      <c r="I150" s="6"/>
    </row>
    <row r="151" customFormat="false" ht="15" hidden="false" customHeight="true" outlineLevel="0" collapsed="false">
      <c r="A151" s="6"/>
      <c r="B151" s="7"/>
      <c r="C151" s="6"/>
      <c r="D151" s="6"/>
      <c r="E151" s="6"/>
      <c r="F151" s="8"/>
      <c r="G151" s="6"/>
      <c r="H151" s="6"/>
      <c r="I151" s="6"/>
    </row>
    <row r="152" customFormat="false" ht="15" hidden="false" customHeight="true" outlineLevel="0" collapsed="false">
      <c r="A152" s="6"/>
      <c r="B152" s="7"/>
      <c r="C152" s="6"/>
      <c r="D152" s="6"/>
      <c r="E152" s="6"/>
      <c r="F152" s="8"/>
      <c r="G152" s="6"/>
      <c r="H152" s="6"/>
      <c r="I152" s="6"/>
    </row>
    <row r="153" customFormat="false" ht="15" hidden="false" customHeight="true" outlineLevel="0" collapsed="false">
      <c r="A153" s="6"/>
      <c r="B153" s="7"/>
      <c r="C153" s="6"/>
      <c r="D153" s="6"/>
      <c r="E153" s="6"/>
      <c r="F153" s="8"/>
      <c r="G153" s="6"/>
      <c r="H153" s="6"/>
      <c r="I153" s="6"/>
    </row>
    <row r="154" customFormat="false" ht="15" hidden="false" customHeight="true" outlineLevel="0" collapsed="false">
      <c r="A154" s="6"/>
      <c r="B154" s="7"/>
      <c r="C154" s="6"/>
      <c r="D154" s="6"/>
      <c r="E154" s="6"/>
      <c r="F154" s="8"/>
      <c r="G154" s="6"/>
      <c r="H154" s="6"/>
      <c r="I154" s="6"/>
    </row>
    <row r="155" customFormat="false" ht="15" hidden="false" customHeight="true" outlineLevel="0" collapsed="false">
      <c r="A155" s="6"/>
      <c r="B155" s="7"/>
      <c r="C155" s="6"/>
      <c r="D155" s="6"/>
      <c r="E155" s="6"/>
      <c r="F155" s="8"/>
      <c r="G155" s="6"/>
      <c r="H155" s="6"/>
      <c r="I155" s="6"/>
    </row>
    <row r="156" customFormat="false" ht="15" hidden="false" customHeight="true" outlineLevel="0" collapsed="false">
      <c r="A156" s="6"/>
      <c r="B156" s="7"/>
      <c r="C156" s="6"/>
      <c r="D156" s="6"/>
      <c r="E156" s="6"/>
      <c r="F156" s="8"/>
      <c r="G156" s="6"/>
      <c r="H156" s="6"/>
      <c r="I156" s="6"/>
    </row>
    <row r="157" customFormat="false" ht="15" hidden="false" customHeight="true" outlineLevel="0" collapsed="false">
      <c r="A157" s="6"/>
      <c r="B157" s="7"/>
      <c r="C157" s="6"/>
      <c r="D157" s="6"/>
      <c r="E157" s="6"/>
      <c r="F157" s="8"/>
      <c r="G157" s="6"/>
      <c r="H157" s="6"/>
      <c r="I157" s="6"/>
    </row>
    <row r="158" customFormat="false" ht="15" hidden="false" customHeight="true" outlineLevel="0" collapsed="false">
      <c r="A158" s="6"/>
      <c r="B158" s="7"/>
      <c r="C158" s="6"/>
      <c r="D158" s="6"/>
      <c r="E158" s="6"/>
      <c r="F158" s="8"/>
      <c r="G158" s="6"/>
      <c r="H158" s="6"/>
      <c r="I158" s="6"/>
    </row>
    <row r="159" customFormat="false" ht="15" hidden="false" customHeight="true" outlineLevel="0" collapsed="false">
      <c r="A159" s="6"/>
      <c r="B159" s="7"/>
      <c r="C159" s="6"/>
      <c r="D159" s="6"/>
      <c r="E159" s="6"/>
      <c r="F159" s="8"/>
      <c r="G159" s="6"/>
      <c r="H159" s="6"/>
      <c r="I159" s="6"/>
    </row>
    <row r="160" customFormat="false" ht="15" hidden="false" customHeight="true" outlineLevel="0" collapsed="false">
      <c r="A160" s="6"/>
      <c r="B160" s="7"/>
      <c r="C160" s="6"/>
      <c r="D160" s="6"/>
      <c r="E160" s="6"/>
      <c r="F160" s="8"/>
      <c r="G160" s="6"/>
      <c r="H160" s="6"/>
      <c r="I160" s="6"/>
    </row>
    <row r="161" customFormat="false" ht="15" hidden="false" customHeight="true" outlineLevel="0" collapsed="false">
      <c r="A161" s="6"/>
      <c r="B161" s="7"/>
      <c r="C161" s="6"/>
      <c r="D161" s="6"/>
      <c r="E161" s="6"/>
      <c r="F161" s="8"/>
      <c r="G161" s="6"/>
      <c r="H161" s="6"/>
      <c r="I161" s="6"/>
    </row>
    <row r="162" customFormat="false" ht="15" hidden="false" customHeight="true" outlineLevel="0" collapsed="false">
      <c r="A162" s="6"/>
      <c r="B162" s="7"/>
      <c r="C162" s="6"/>
      <c r="D162" s="6"/>
      <c r="E162" s="6"/>
      <c r="F162" s="8"/>
      <c r="G162" s="6"/>
      <c r="H162" s="6"/>
      <c r="I162" s="6"/>
    </row>
    <row r="163" customFormat="false" ht="15" hidden="false" customHeight="true" outlineLevel="0" collapsed="false">
      <c r="A163" s="6"/>
      <c r="B163" s="7"/>
      <c r="C163" s="6"/>
      <c r="D163" s="6"/>
      <c r="E163" s="6"/>
      <c r="F163" s="8"/>
      <c r="G163" s="6"/>
      <c r="H163" s="6"/>
      <c r="I163" s="6"/>
    </row>
    <row r="164" customFormat="false" ht="15" hidden="false" customHeight="true" outlineLevel="0" collapsed="false">
      <c r="A164" s="6"/>
      <c r="B164" s="7"/>
      <c r="C164" s="6"/>
      <c r="D164" s="6"/>
      <c r="E164" s="6"/>
      <c r="F164" s="8"/>
      <c r="G164" s="6"/>
      <c r="H164" s="6"/>
      <c r="I164" s="6"/>
    </row>
    <row r="165" customFormat="false" ht="15" hidden="false" customHeight="true" outlineLevel="0" collapsed="false">
      <c r="A165" s="6"/>
      <c r="B165" s="7"/>
      <c r="C165" s="6"/>
      <c r="D165" s="6"/>
      <c r="E165" s="6"/>
      <c r="F165" s="8"/>
      <c r="G165" s="6"/>
      <c r="H165" s="6"/>
      <c r="I165" s="6"/>
    </row>
    <row r="166" customFormat="false" ht="15" hidden="false" customHeight="true" outlineLevel="0" collapsed="false">
      <c r="A166" s="6"/>
      <c r="B166" s="7"/>
      <c r="C166" s="6"/>
      <c r="D166" s="6"/>
      <c r="E166" s="6"/>
      <c r="F166" s="8"/>
      <c r="G166" s="6"/>
      <c r="H166" s="6"/>
      <c r="I166" s="6"/>
    </row>
    <row r="167" customFormat="false" ht="15" hidden="false" customHeight="true" outlineLevel="0" collapsed="false">
      <c r="A167" s="6"/>
      <c r="B167" s="7"/>
      <c r="C167" s="6"/>
      <c r="D167" s="6"/>
      <c r="E167" s="6"/>
      <c r="F167" s="8"/>
      <c r="G167" s="6"/>
      <c r="H167" s="6"/>
      <c r="I167" s="6"/>
    </row>
    <row r="168" customFormat="false" ht="15" hidden="false" customHeight="true" outlineLevel="0" collapsed="false">
      <c r="A168" s="6"/>
      <c r="B168" s="7"/>
      <c r="C168" s="6"/>
      <c r="D168" s="6"/>
      <c r="E168" s="6"/>
      <c r="F168" s="8"/>
      <c r="G168" s="6"/>
      <c r="H168" s="6"/>
      <c r="I168" s="6"/>
    </row>
    <row r="169" customFormat="false" ht="15" hidden="false" customHeight="true" outlineLevel="0" collapsed="false">
      <c r="A169" s="6"/>
      <c r="B169" s="7"/>
      <c r="C169" s="6"/>
      <c r="D169" s="6"/>
      <c r="E169" s="6"/>
      <c r="F169" s="8"/>
      <c r="G169" s="6"/>
      <c r="H169" s="6"/>
      <c r="I169" s="6"/>
    </row>
    <row r="170" customFormat="false" ht="15" hidden="false" customHeight="true" outlineLevel="0" collapsed="false">
      <c r="A170" s="6"/>
      <c r="B170" s="7"/>
      <c r="C170" s="6"/>
      <c r="D170" s="6"/>
      <c r="E170" s="6"/>
      <c r="F170" s="8"/>
      <c r="G170" s="6"/>
      <c r="H170" s="6"/>
      <c r="I170" s="6"/>
    </row>
    <row r="171" customFormat="false" ht="15" hidden="false" customHeight="true" outlineLevel="0" collapsed="false">
      <c r="A171" s="6"/>
      <c r="B171" s="7"/>
      <c r="C171" s="6"/>
      <c r="D171" s="6"/>
      <c r="E171" s="6"/>
      <c r="F171" s="8"/>
      <c r="G171" s="6"/>
      <c r="H171" s="6"/>
      <c r="I171" s="6"/>
    </row>
    <row r="172" customFormat="false" ht="15" hidden="false" customHeight="true" outlineLevel="0" collapsed="false">
      <c r="A172" s="6"/>
      <c r="B172" s="7"/>
      <c r="C172" s="6"/>
      <c r="D172" s="6"/>
      <c r="E172" s="6"/>
      <c r="F172" s="8"/>
      <c r="G172" s="6"/>
      <c r="H172" s="6"/>
      <c r="I172" s="6"/>
    </row>
    <row r="173" customFormat="false" ht="15" hidden="false" customHeight="true" outlineLevel="0" collapsed="false">
      <c r="A173" s="6"/>
      <c r="B173" s="7"/>
      <c r="C173" s="6"/>
      <c r="D173" s="6"/>
      <c r="E173" s="6"/>
      <c r="F173" s="8"/>
      <c r="G173" s="6"/>
      <c r="H173" s="6"/>
      <c r="I173" s="6"/>
    </row>
    <row r="174" customFormat="false" ht="15" hidden="false" customHeight="true" outlineLevel="0" collapsed="false">
      <c r="A174" s="6"/>
      <c r="B174" s="7"/>
      <c r="C174" s="6"/>
      <c r="D174" s="6"/>
      <c r="E174" s="6"/>
      <c r="F174" s="8"/>
      <c r="G174" s="6"/>
      <c r="H174" s="6"/>
      <c r="I174" s="6"/>
    </row>
    <row r="175" customFormat="false" ht="15" hidden="false" customHeight="true" outlineLevel="0" collapsed="false">
      <c r="A175" s="6"/>
      <c r="B175" s="7"/>
      <c r="C175" s="6"/>
      <c r="D175" s="6"/>
      <c r="E175" s="6"/>
      <c r="F175" s="8"/>
      <c r="G175" s="6"/>
      <c r="H175" s="6"/>
      <c r="I175" s="6"/>
    </row>
    <row r="176" customFormat="false" ht="15" hidden="false" customHeight="true" outlineLevel="0" collapsed="false">
      <c r="A176" s="6"/>
      <c r="B176" s="7"/>
      <c r="C176" s="6"/>
      <c r="D176" s="6"/>
      <c r="E176" s="6"/>
      <c r="F176" s="8"/>
      <c r="G176" s="6"/>
      <c r="H176" s="6"/>
      <c r="I176" s="6"/>
    </row>
    <row r="177" customFormat="false" ht="15" hidden="false" customHeight="true" outlineLevel="0" collapsed="false">
      <c r="A177" s="6"/>
      <c r="B177" s="7"/>
      <c r="C177" s="6"/>
      <c r="D177" s="6"/>
      <c r="E177" s="6"/>
      <c r="F177" s="8"/>
      <c r="G177" s="6"/>
      <c r="H177" s="6"/>
      <c r="I177" s="6"/>
    </row>
    <row r="178" customFormat="false" ht="15" hidden="false" customHeight="true" outlineLevel="0" collapsed="false">
      <c r="A178" s="6"/>
      <c r="B178" s="7"/>
      <c r="C178" s="6"/>
      <c r="D178" s="6"/>
      <c r="E178" s="6"/>
      <c r="F178" s="8"/>
      <c r="G178" s="6"/>
      <c r="H178" s="6"/>
      <c r="I178" s="6"/>
    </row>
    <row r="179" customFormat="false" ht="15" hidden="false" customHeight="true" outlineLevel="0" collapsed="false">
      <c r="A179" s="6"/>
      <c r="B179" s="7"/>
      <c r="C179" s="6"/>
      <c r="D179" s="6"/>
      <c r="E179" s="6"/>
      <c r="F179" s="8"/>
      <c r="G179" s="6"/>
      <c r="H179" s="6"/>
      <c r="I179" s="6"/>
    </row>
    <row r="180" customFormat="false" ht="15" hidden="false" customHeight="true" outlineLevel="0" collapsed="false">
      <c r="A180" s="6"/>
      <c r="B180" s="7"/>
      <c r="C180" s="6"/>
      <c r="D180" s="6"/>
      <c r="E180" s="6"/>
      <c r="F180" s="8"/>
      <c r="G180" s="6"/>
      <c r="H180" s="6"/>
      <c r="I180" s="6"/>
    </row>
    <row r="181" customFormat="false" ht="15" hidden="false" customHeight="true" outlineLevel="0" collapsed="false">
      <c r="A181" s="6"/>
      <c r="B181" s="7"/>
      <c r="C181" s="6"/>
      <c r="D181" s="6"/>
      <c r="E181" s="6"/>
      <c r="F181" s="8"/>
      <c r="G181" s="6"/>
      <c r="H181" s="6"/>
      <c r="I181" s="6"/>
    </row>
    <row r="182" customFormat="false" ht="15" hidden="false" customHeight="true" outlineLevel="0" collapsed="false">
      <c r="A182" s="6"/>
      <c r="B182" s="7"/>
      <c r="C182" s="6"/>
      <c r="D182" s="6"/>
      <c r="E182" s="6"/>
      <c r="F182" s="8"/>
      <c r="G182" s="6"/>
      <c r="H182" s="6"/>
      <c r="I182" s="6"/>
    </row>
    <row r="183" customFormat="false" ht="15" hidden="false" customHeight="true" outlineLevel="0" collapsed="false">
      <c r="A183" s="6"/>
      <c r="B183" s="7"/>
      <c r="C183" s="6"/>
      <c r="D183" s="6"/>
      <c r="E183" s="6"/>
      <c r="F183" s="8"/>
      <c r="G183" s="6"/>
      <c r="H183" s="6"/>
      <c r="I183" s="6"/>
    </row>
    <row r="184" customFormat="false" ht="15" hidden="false" customHeight="true" outlineLevel="0" collapsed="false">
      <c r="A184" s="6"/>
      <c r="B184" s="7"/>
      <c r="C184" s="6"/>
      <c r="D184" s="6"/>
      <c r="E184" s="6"/>
      <c r="F184" s="8"/>
      <c r="G184" s="6"/>
      <c r="H184" s="6"/>
      <c r="I184" s="6"/>
    </row>
    <row r="185" customFormat="false" ht="15" hidden="false" customHeight="true" outlineLevel="0" collapsed="false">
      <c r="A185" s="6"/>
      <c r="B185" s="7"/>
      <c r="C185" s="6"/>
      <c r="D185" s="6"/>
      <c r="E185" s="6"/>
      <c r="F185" s="8"/>
      <c r="G185" s="6"/>
      <c r="H185" s="6"/>
      <c r="I185" s="6"/>
    </row>
    <row r="186" customFormat="false" ht="15" hidden="false" customHeight="true" outlineLevel="0" collapsed="false">
      <c r="A186" s="6"/>
      <c r="B186" s="7"/>
      <c r="C186" s="6"/>
      <c r="D186" s="6"/>
      <c r="E186" s="6"/>
      <c r="F186" s="8"/>
      <c r="G186" s="6"/>
      <c r="H186" s="6"/>
      <c r="I186" s="6"/>
    </row>
    <row r="187" customFormat="false" ht="15" hidden="false" customHeight="true" outlineLevel="0" collapsed="false">
      <c r="A187" s="6"/>
      <c r="B187" s="7"/>
      <c r="C187" s="6"/>
      <c r="D187" s="6"/>
      <c r="E187" s="6"/>
      <c r="F187" s="8"/>
      <c r="G187" s="6"/>
      <c r="H187" s="6"/>
      <c r="I187" s="6"/>
    </row>
    <row r="188" customFormat="false" ht="15" hidden="false" customHeight="true" outlineLevel="0" collapsed="false">
      <c r="A188" s="6"/>
      <c r="B188" s="7"/>
      <c r="C188" s="6"/>
      <c r="D188" s="6"/>
      <c r="E188" s="6"/>
      <c r="F188" s="8"/>
      <c r="G188" s="6"/>
      <c r="H188" s="6"/>
      <c r="I188" s="6"/>
    </row>
    <row r="189" customFormat="false" ht="15" hidden="false" customHeight="true" outlineLevel="0" collapsed="false">
      <c r="A189" s="6"/>
      <c r="B189" s="7"/>
      <c r="C189" s="6"/>
      <c r="D189" s="6"/>
      <c r="E189" s="6"/>
      <c r="F189" s="8"/>
      <c r="G189" s="6"/>
      <c r="H189" s="6"/>
      <c r="I189" s="6"/>
    </row>
    <row r="190" customFormat="false" ht="15" hidden="false" customHeight="true" outlineLevel="0" collapsed="false">
      <c r="A190" s="6"/>
      <c r="B190" s="7"/>
      <c r="C190" s="6"/>
      <c r="D190" s="6"/>
      <c r="E190" s="6"/>
      <c r="F190" s="8"/>
      <c r="G190" s="6"/>
      <c r="H190" s="6"/>
      <c r="I190" s="6"/>
    </row>
    <row r="191" customFormat="false" ht="15" hidden="false" customHeight="true" outlineLevel="0" collapsed="false">
      <c r="A191" s="6"/>
      <c r="B191" s="7"/>
      <c r="C191" s="6"/>
      <c r="D191" s="6"/>
      <c r="E191" s="6"/>
      <c r="F191" s="8"/>
      <c r="G191" s="6"/>
      <c r="H191" s="6"/>
      <c r="I191" s="6"/>
    </row>
    <row r="192" customFormat="false" ht="15" hidden="false" customHeight="true" outlineLevel="0" collapsed="false">
      <c r="A192" s="6"/>
      <c r="B192" s="7"/>
      <c r="C192" s="6"/>
      <c r="D192" s="6"/>
      <c r="E192" s="6"/>
      <c r="F192" s="8"/>
      <c r="G192" s="6"/>
      <c r="H192" s="6"/>
      <c r="I192" s="6"/>
    </row>
    <row r="193" customFormat="false" ht="15" hidden="false" customHeight="true" outlineLevel="0" collapsed="false">
      <c r="A193" s="6"/>
      <c r="B193" s="7"/>
      <c r="C193" s="6"/>
      <c r="D193" s="6"/>
      <c r="E193" s="6"/>
      <c r="F193" s="8"/>
      <c r="G193" s="6"/>
      <c r="H193" s="6"/>
      <c r="I193" s="6"/>
    </row>
    <row r="194" customFormat="false" ht="15" hidden="false" customHeight="true" outlineLevel="0" collapsed="false">
      <c r="A194" s="6"/>
      <c r="B194" s="7"/>
      <c r="C194" s="6"/>
      <c r="D194" s="6"/>
      <c r="E194" s="6"/>
      <c r="F194" s="8"/>
      <c r="G194" s="6"/>
      <c r="H194" s="6"/>
      <c r="I194" s="6"/>
    </row>
    <row r="195" customFormat="false" ht="15" hidden="false" customHeight="true" outlineLevel="0" collapsed="false">
      <c r="A195" s="6"/>
      <c r="B195" s="7"/>
      <c r="C195" s="6"/>
      <c r="D195" s="6"/>
      <c r="E195" s="6"/>
      <c r="F195" s="8"/>
      <c r="G195" s="6"/>
      <c r="H195" s="6"/>
      <c r="I195" s="6"/>
    </row>
    <row r="196" customFormat="false" ht="15" hidden="false" customHeight="true" outlineLevel="0" collapsed="false">
      <c r="A196" s="6"/>
      <c r="B196" s="7"/>
      <c r="C196" s="6"/>
      <c r="D196" s="6"/>
      <c r="E196" s="6"/>
      <c r="F196" s="8"/>
      <c r="G196" s="6"/>
      <c r="H196" s="6"/>
      <c r="I196" s="6"/>
    </row>
    <row r="197" customFormat="false" ht="15" hidden="false" customHeight="true" outlineLevel="0" collapsed="false">
      <c r="A197" s="6"/>
      <c r="B197" s="7"/>
      <c r="C197" s="6"/>
      <c r="D197" s="6"/>
      <c r="E197" s="6"/>
      <c r="F197" s="8"/>
      <c r="G197" s="6"/>
      <c r="H197" s="6"/>
      <c r="I197" s="6"/>
    </row>
    <row r="198" customFormat="false" ht="15" hidden="false" customHeight="true" outlineLevel="0" collapsed="false">
      <c r="A198" s="6"/>
      <c r="B198" s="7"/>
      <c r="C198" s="6"/>
      <c r="D198" s="6"/>
      <c r="E198" s="6"/>
      <c r="F198" s="8"/>
      <c r="G198" s="6"/>
      <c r="H198" s="6"/>
      <c r="I198" s="6"/>
    </row>
    <row r="199" customFormat="false" ht="15" hidden="false" customHeight="true" outlineLevel="0" collapsed="false">
      <c r="A199" s="6"/>
      <c r="B199" s="7"/>
      <c r="C199" s="6"/>
      <c r="D199" s="6"/>
      <c r="E199" s="6"/>
      <c r="F199" s="8"/>
      <c r="G199" s="6"/>
      <c r="H199" s="6"/>
      <c r="I199" s="6"/>
    </row>
    <row r="200" customFormat="false" ht="15" hidden="false" customHeight="true" outlineLevel="0" collapsed="false">
      <c r="A200" s="6"/>
      <c r="B200" s="7"/>
      <c r="C200" s="6"/>
      <c r="D200" s="6"/>
      <c r="E200" s="6"/>
      <c r="F200" s="8"/>
      <c r="G200" s="6"/>
      <c r="H200" s="6"/>
      <c r="I200" s="6"/>
    </row>
    <row r="201" customFormat="false" ht="15" hidden="false" customHeight="true" outlineLevel="0" collapsed="false">
      <c r="A201" s="6"/>
      <c r="B201" s="7"/>
      <c r="C201" s="6"/>
      <c r="D201" s="6"/>
      <c r="E201" s="6"/>
      <c r="F201" s="8"/>
      <c r="G201" s="6"/>
      <c r="H201" s="6"/>
      <c r="I201" s="6"/>
    </row>
    <row r="202" customFormat="false" ht="15" hidden="false" customHeight="true" outlineLevel="0" collapsed="false">
      <c r="A202" s="6"/>
      <c r="B202" s="7"/>
      <c r="C202" s="6"/>
      <c r="D202" s="6"/>
      <c r="E202" s="6"/>
      <c r="F202" s="8"/>
      <c r="G202" s="6"/>
      <c r="H202" s="6"/>
      <c r="I202" s="6"/>
    </row>
    <row r="203" customFormat="false" ht="15" hidden="false" customHeight="true" outlineLevel="0" collapsed="false">
      <c r="A203" s="6"/>
      <c r="B203" s="7"/>
      <c r="C203" s="6"/>
      <c r="D203" s="6"/>
      <c r="E203" s="6"/>
      <c r="F203" s="8"/>
      <c r="G203" s="6"/>
      <c r="H203" s="6"/>
      <c r="I203" s="6"/>
    </row>
    <row r="204" customFormat="false" ht="15" hidden="false" customHeight="true" outlineLevel="0" collapsed="false">
      <c r="A204" s="6"/>
      <c r="B204" s="7"/>
      <c r="C204" s="6"/>
      <c r="D204" s="6"/>
      <c r="E204" s="6"/>
      <c r="F204" s="8"/>
      <c r="G204" s="6"/>
      <c r="H204" s="6"/>
      <c r="I204" s="6"/>
    </row>
    <row r="205" customFormat="false" ht="15" hidden="false" customHeight="true" outlineLevel="0" collapsed="false">
      <c r="A205" s="6"/>
      <c r="B205" s="7"/>
      <c r="C205" s="6"/>
      <c r="D205" s="6"/>
      <c r="E205" s="6"/>
      <c r="F205" s="8"/>
      <c r="G205" s="6"/>
      <c r="H205" s="6"/>
      <c r="I205" s="6"/>
    </row>
    <row r="206" customFormat="false" ht="15" hidden="false" customHeight="true" outlineLevel="0" collapsed="false">
      <c r="A206" s="6"/>
      <c r="B206" s="7"/>
      <c r="C206" s="6"/>
      <c r="D206" s="6"/>
      <c r="E206" s="6"/>
      <c r="F206" s="8"/>
      <c r="G206" s="6"/>
      <c r="H206" s="6"/>
      <c r="I206" s="6"/>
    </row>
    <row r="207" customFormat="false" ht="15" hidden="false" customHeight="true" outlineLevel="0" collapsed="false">
      <c r="A207" s="6"/>
      <c r="B207" s="7"/>
      <c r="C207" s="6"/>
      <c r="D207" s="6"/>
      <c r="E207" s="6"/>
      <c r="F207" s="8"/>
      <c r="G207" s="6"/>
      <c r="H207" s="6"/>
      <c r="I207" s="6"/>
    </row>
    <row r="208" customFormat="false" ht="15" hidden="false" customHeight="true" outlineLevel="0" collapsed="false">
      <c r="A208" s="6"/>
      <c r="B208" s="7"/>
      <c r="C208" s="6"/>
      <c r="D208" s="6"/>
      <c r="E208" s="6"/>
      <c r="F208" s="8"/>
      <c r="G208" s="6"/>
      <c r="H208" s="6"/>
      <c r="I208" s="6"/>
    </row>
    <row r="209" customFormat="false" ht="15" hidden="false" customHeight="true" outlineLevel="0" collapsed="false">
      <c r="A209" s="6"/>
      <c r="B209" s="7"/>
      <c r="C209" s="6"/>
      <c r="D209" s="6"/>
      <c r="E209" s="6"/>
      <c r="F209" s="8"/>
      <c r="G209" s="6"/>
      <c r="H209" s="6"/>
      <c r="I209" s="6"/>
    </row>
    <row r="210" customFormat="false" ht="15" hidden="false" customHeight="true" outlineLevel="0" collapsed="false">
      <c r="A210" s="6"/>
      <c r="B210" s="7"/>
      <c r="C210" s="6"/>
      <c r="D210" s="6"/>
      <c r="E210" s="6"/>
      <c r="F210" s="8"/>
      <c r="G210" s="6"/>
      <c r="H210" s="6"/>
      <c r="I210" s="6"/>
    </row>
    <row r="211" customFormat="false" ht="15" hidden="false" customHeight="true" outlineLevel="0" collapsed="false">
      <c r="A211" s="6"/>
      <c r="B211" s="7"/>
      <c r="C211" s="6"/>
      <c r="D211" s="6"/>
      <c r="E211" s="6"/>
      <c r="F211" s="8"/>
      <c r="G211" s="6"/>
      <c r="H211" s="6"/>
      <c r="I211" s="6"/>
    </row>
    <row r="212" customFormat="false" ht="15" hidden="false" customHeight="true" outlineLevel="0" collapsed="false">
      <c r="A212" s="6"/>
      <c r="B212" s="7"/>
      <c r="C212" s="6"/>
      <c r="D212" s="6"/>
      <c r="E212" s="6"/>
      <c r="F212" s="8"/>
      <c r="G212" s="6"/>
      <c r="H212" s="6"/>
      <c r="I212" s="6"/>
    </row>
    <row r="213" customFormat="false" ht="15" hidden="false" customHeight="true" outlineLevel="0" collapsed="false">
      <c r="A213" s="6"/>
      <c r="B213" s="7"/>
      <c r="C213" s="6"/>
      <c r="D213" s="6"/>
      <c r="E213" s="6"/>
      <c r="F213" s="8"/>
      <c r="G213" s="6"/>
      <c r="H213" s="6"/>
      <c r="I213" s="6"/>
    </row>
    <row r="214" customFormat="false" ht="15" hidden="false" customHeight="true" outlineLevel="0" collapsed="false">
      <c r="A214" s="6"/>
      <c r="B214" s="7"/>
      <c r="C214" s="6"/>
      <c r="D214" s="6"/>
      <c r="E214" s="6"/>
      <c r="F214" s="8"/>
      <c r="G214" s="6"/>
      <c r="H214" s="6"/>
      <c r="I214" s="6"/>
    </row>
    <row r="215" customFormat="false" ht="15" hidden="false" customHeight="true" outlineLevel="0" collapsed="false">
      <c r="A215" s="6"/>
      <c r="B215" s="7"/>
      <c r="C215" s="6"/>
      <c r="D215" s="6"/>
      <c r="E215" s="6"/>
      <c r="F215" s="8"/>
      <c r="G215" s="6"/>
      <c r="H215" s="6"/>
      <c r="I215" s="6"/>
    </row>
    <row r="216" customFormat="false" ht="15" hidden="false" customHeight="true" outlineLevel="0" collapsed="false">
      <c r="A216" s="6"/>
      <c r="B216" s="7"/>
      <c r="C216" s="6"/>
      <c r="D216" s="6"/>
      <c r="E216" s="6"/>
      <c r="F216" s="8"/>
      <c r="G216" s="6"/>
      <c r="H216" s="6"/>
      <c r="I216" s="6"/>
    </row>
    <row r="217" customFormat="false" ht="15" hidden="false" customHeight="true" outlineLevel="0" collapsed="false">
      <c r="A217" s="6"/>
      <c r="B217" s="7"/>
      <c r="C217" s="6"/>
      <c r="D217" s="6"/>
      <c r="E217" s="6"/>
      <c r="F217" s="8"/>
      <c r="G217" s="6"/>
      <c r="H217" s="6"/>
      <c r="I217" s="6"/>
    </row>
    <row r="218" customFormat="false" ht="15" hidden="false" customHeight="true" outlineLevel="0" collapsed="false">
      <c r="A218" s="6"/>
      <c r="B218" s="7"/>
      <c r="C218" s="6"/>
      <c r="D218" s="6"/>
      <c r="E218" s="6"/>
      <c r="F218" s="8"/>
      <c r="G218" s="6"/>
      <c r="H218" s="6"/>
      <c r="I218" s="6"/>
    </row>
    <row r="219" customFormat="false" ht="15" hidden="false" customHeight="true" outlineLevel="0" collapsed="false">
      <c r="A219" s="6"/>
      <c r="B219" s="7"/>
      <c r="C219" s="6"/>
      <c r="D219" s="6"/>
      <c r="E219" s="6"/>
      <c r="F219" s="8"/>
      <c r="G219" s="6"/>
      <c r="H219" s="6"/>
      <c r="I219" s="6"/>
    </row>
    <row r="220" customFormat="false" ht="15" hidden="false" customHeight="true" outlineLevel="0" collapsed="false">
      <c r="A220" s="6"/>
      <c r="B220" s="7"/>
      <c r="C220" s="6"/>
      <c r="D220" s="6"/>
      <c r="E220" s="6"/>
      <c r="F220" s="8"/>
      <c r="G220" s="6"/>
      <c r="H220" s="6"/>
      <c r="I220" s="6"/>
    </row>
    <row r="221" customFormat="false" ht="15" hidden="false" customHeight="true" outlineLevel="0" collapsed="false">
      <c r="A221" s="6"/>
      <c r="B221" s="7"/>
      <c r="C221" s="6"/>
      <c r="D221" s="6"/>
      <c r="E221" s="6"/>
      <c r="F221" s="8"/>
      <c r="G221" s="6"/>
      <c r="H221" s="6"/>
      <c r="I221" s="6"/>
    </row>
    <row r="222" customFormat="false" ht="15" hidden="false" customHeight="true" outlineLevel="0" collapsed="false">
      <c r="A222" s="6"/>
      <c r="B222" s="7"/>
      <c r="C222" s="6"/>
      <c r="D222" s="6"/>
      <c r="E222" s="6"/>
      <c r="F222" s="8"/>
      <c r="G222" s="6"/>
      <c r="H222" s="6"/>
      <c r="I222" s="6"/>
    </row>
    <row r="223" customFormat="false" ht="15" hidden="false" customHeight="true" outlineLevel="0" collapsed="false">
      <c r="A223" s="6"/>
      <c r="B223" s="7"/>
      <c r="C223" s="6"/>
      <c r="D223" s="6"/>
      <c r="E223" s="6"/>
      <c r="F223" s="8"/>
      <c r="G223" s="6"/>
      <c r="H223" s="6"/>
      <c r="I223" s="6"/>
    </row>
    <row r="224" customFormat="false" ht="15" hidden="false" customHeight="true" outlineLevel="0" collapsed="false">
      <c r="A224" s="6"/>
      <c r="B224" s="7"/>
      <c r="C224" s="6"/>
      <c r="D224" s="6"/>
      <c r="E224" s="6"/>
      <c r="F224" s="8"/>
      <c r="G224" s="6"/>
      <c r="H224" s="6"/>
      <c r="I224" s="6"/>
    </row>
    <row r="225" customFormat="false" ht="15" hidden="false" customHeight="true" outlineLevel="0" collapsed="false">
      <c r="A225" s="6"/>
      <c r="B225" s="7"/>
      <c r="C225" s="6"/>
      <c r="D225" s="6"/>
      <c r="E225" s="6"/>
      <c r="F225" s="8"/>
      <c r="G225" s="6"/>
      <c r="H225" s="6"/>
      <c r="I225" s="6"/>
    </row>
    <row r="226" customFormat="false" ht="15" hidden="false" customHeight="true" outlineLevel="0" collapsed="false">
      <c r="A226" s="6"/>
      <c r="B226" s="7"/>
      <c r="C226" s="6"/>
      <c r="D226" s="6"/>
      <c r="E226" s="6"/>
      <c r="F226" s="8"/>
      <c r="G226" s="6"/>
      <c r="H226" s="6"/>
      <c r="I226" s="6"/>
    </row>
    <row r="227" customFormat="false" ht="15" hidden="false" customHeight="true" outlineLevel="0" collapsed="false">
      <c r="A227" s="6"/>
      <c r="B227" s="7"/>
      <c r="C227" s="6"/>
      <c r="D227" s="6"/>
      <c r="E227" s="6"/>
      <c r="F227" s="8"/>
      <c r="G227" s="6"/>
      <c r="H227" s="6"/>
      <c r="I227" s="6"/>
    </row>
    <row r="228" customFormat="false" ht="15" hidden="false" customHeight="true" outlineLevel="0" collapsed="false">
      <c r="A228" s="6"/>
      <c r="B228" s="7"/>
      <c r="C228" s="6"/>
      <c r="D228" s="6"/>
      <c r="E228" s="6"/>
      <c r="F228" s="8"/>
      <c r="G228" s="6"/>
      <c r="H228" s="6"/>
      <c r="I228" s="6"/>
    </row>
    <row r="229" customFormat="false" ht="15" hidden="false" customHeight="true" outlineLevel="0" collapsed="false">
      <c r="A229" s="6"/>
      <c r="B229" s="7"/>
      <c r="C229" s="6"/>
      <c r="D229" s="6"/>
      <c r="E229" s="6"/>
      <c r="F229" s="8"/>
      <c r="G229" s="6"/>
      <c r="H229" s="6"/>
      <c r="I229" s="6"/>
    </row>
    <row r="230" customFormat="false" ht="15" hidden="false" customHeight="true" outlineLevel="0" collapsed="false">
      <c r="A230" s="6"/>
      <c r="B230" s="7"/>
      <c r="C230" s="6"/>
      <c r="D230" s="6"/>
      <c r="E230" s="6"/>
      <c r="F230" s="8"/>
      <c r="G230" s="6"/>
      <c r="H230" s="6"/>
      <c r="I230" s="6"/>
    </row>
    <row r="231" customFormat="false" ht="15" hidden="false" customHeight="true" outlineLevel="0" collapsed="false">
      <c r="A231" s="6"/>
      <c r="B231" s="7"/>
      <c r="C231" s="6"/>
      <c r="D231" s="6"/>
      <c r="E231" s="6"/>
      <c r="F231" s="8"/>
      <c r="G231" s="6"/>
      <c r="H231" s="6"/>
      <c r="I231" s="6"/>
    </row>
    <row r="232" customFormat="false" ht="15" hidden="false" customHeight="true" outlineLevel="0" collapsed="false">
      <c r="A232" s="6"/>
      <c r="B232" s="7"/>
      <c r="C232" s="6"/>
      <c r="D232" s="6"/>
      <c r="E232" s="6"/>
      <c r="F232" s="8"/>
      <c r="G232" s="6"/>
      <c r="H232" s="6"/>
      <c r="I232" s="6"/>
    </row>
    <row r="233" customFormat="false" ht="15" hidden="false" customHeight="true" outlineLevel="0" collapsed="false">
      <c r="A233" s="6"/>
      <c r="B233" s="7"/>
      <c r="C233" s="6"/>
      <c r="D233" s="6"/>
      <c r="E233" s="6"/>
      <c r="F233" s="8"/>
      <c r="G233" s="6"/>
      <c r="H233" s="6"/>
      <c r="I233" s="6"/>
    </row>
    <row r="234" customFormat="false" ht="15" hidden="false" customHeight="true" outlineLevel="0" collapsed="false">
      <c r="A234" s="6"/>
      <c r="B234" s="7"/>
      <c r="C234" s="6"/>
      <c r="D234" s="6"/>
      <c r="E234" s="6"/>
      <c r="F234" s="8"/>
      <c r="G234" s="6"/>
      <c r="H234" s="6"/>
      <c r="I234" s="6"/>
    </row>
    <row r="235" customFormat="false" ht="15" hidden="false" customHeight="true" outlineLevel="0" collapsed="false">
      <c r="A235" s="6"/>
      <c r="B235" s="7"/>
      <c r="C235" s="6"/>
      <c r="D235" s="6"/>
      <c r="E235" s="6"/>
      <c r="F235" s="8"/>
      <c r="G235" s="6"/>
      <c r="H235" s="6"/>
      <c r="I235" s="6"/>
    </row>
    <row r="236" customFormat="false" ht="15" hidden="false" customHeight="true" outlineLevel="0" collapsed="false">
      <c r="A236" s="6"/>
      <c r="B236" s="7"/>
      <c r="C236" s="6"/>
      <c r="D236" s="6"/>
      <c r="E236" s="6"/>
      <c r="F236" s="8"/>
      <c r="G236" s="6"/>
      <c r="H236" s="6"/>
      <c r="I236" s="6"/>
    </row>
    <row r="237" customFormat="false" ht="15" hidden="false" customHeight="true" outlineLevel="0" collapsed="false">
      <c r="A237" s="6"/>
      <c r="B237" s="7"/>
      <c r="C237" s="6"/>
      <c r="D237" s="6"/>
      <c r="E237" s="6"/>
      <c r="F237" s="8"/>
      <c r="G237" s="6"/>
      <c r="H237" s="6"/>
      <c r="I237" s="6"/>
    </row>
    <row r="238" customFormat="false" ht="15" hidden="false" customHeight="true" outlineLevel="0" collapsed="false">
      <c r="A238" s="6"/>
      <c r="B238" s="7"/>
      <c r="C238" s="6"/>
      <c r="D238" s="6"/>
      <c r="E238" s="6"/>
      <c r="F238" s="8"/>
      <c r="G238" s="6"/>
      <c r="H238" s="6"/>
      <c r="I238" s="6"/>
    </row>
    <row r="239" customFormat="false" ht="15" hidden="false" customHeight="true" outlineLevel="0" collapsed="false">
      <c r="A239" s="6"/>
      <c r="B239" s="7"/>
      <c r="C239" s="6"/>
      <c r="D239" s="6"/>
      <c r="E239" s="6"/>
      <c r="F239" s="8"/>
      <c r="G239" s="6"/>
      <c r="H239" s="6"/>
      <c r="I239" s="6"/>
    </row>
    <row r="240" customFormat="false" ht="15" hidden="false" customHeight="true" outlineLevel="0" collapsed="false">
      <c r="A240" s="6"/>
      <c r="B240" s="7"/>
      <c r="C240" s="6"/>
      <c r="D240" s="6"/>
      <c r="E240" s="6"/>
      <c r="F240" s="8"/>
      <c r="G240" s="6"/>
      <c r="H240" s="6"/>
      <c r="I240" s="6"/>
    </row>
    <row r="241" customFormat="false" ht="15" hidden="false" customHeight="true" outlineLevel="0" collapsed="false">
      <c r="A241" s="6"/>
      <c r="B241" s="7"/>
      <c r="C241" s="6"/>
      <c r="D241" s="6"/>
      <c r="E241" s="6"/>
      <c r="F241" s="8"/>
      <c r="G241" s="6"/>
      <c r="H241" s="6"/>
      <c r="I241" s="6"/>
    </row>
    <row r="242" customFormat="false" ht="15" hidden="false" customHeight="true" outlineLevel="0" collapsed="false">
      <c r="A242" s="6"/>
      <c r="B242" s="7"/>
      <c r="C242" s="6"/>
      <c r="D242" s="6"/>
      <c r="E242" s="6"/>
      <c r="F242" s="8"/>
      <c r="G242" s="6"/>
      <c r="H242" s="6"/>
      <c r="I242" s="6"/>
    </row>
    <row r="243" customFormat="false" ht="15" hidden="false" customHeight="true" outlineLevel="0" collapsed="false">
      <c r="A243" s="6"/>
      <c r="B243" s="7"/>
      <c r="C243" s="6"/>
      <c r="D243" s="6"/>
      <c r="E243" s="6"/>
      <c r="F243" s="8"/>
      <c r="G243" s="6"/>
      <c r="H243" s="6"/>
      <c r="I243" s="6"/>
    </row>
    <row r="244" customFormat="false" ht="15" hidden="false" customHeight="true" outlineLevel="0" collapsed="false">
      <c r="A244" s="6"/>
      <c r="B244" s="7"/>
      <c r="C244" s="6"/>
      <c r="D244" s="6"/>
      <c r="E244" s="6"/>
      <c r="F244" s="8"/>
      <c r="G244" s="6"/>
      <c r="H244" s="6"/>
      <c r="I244" s="6"/>
    </row>
    <row r="245" customFormat="false" ht="15" hidden="false" customHeight="true" outlineLevel="0" collapsed="false">
      <c r="A245" s="6"/>
      <c r="B245" s="7"/>
      <c r="C245" s="6"/>
      <c r="D245" s="6"/>
      <c r="E245" s="6"/>
      <c r="F245" s="8"/>
      <c r="G245" s="6"/>
      <c r="H245" s="6"/>
      <c r="I245" s="6"/>
    </row>
    <row r="246" customFormat="false" ht="15" hidden="false" customHeight="true" outlineLevel="0" collapsed="false">
      <c r="A246" s="6"/>
      <c r="B246" s="7"/>
      <c r="C246" s="6"/>
      <c r="D246" s="6"/>
      <c r="E246" s="6"/>
      <c r="F246" s="8"/>
      <c r="G246" s="6"/>
      <c r="H246" s="6"/>
      <c r="I246" s="6"/>
    </row>
    <row r="247" customFormat="false" ht="15" hidden="false" customHeight="true" outlineLevel="0" collapsed="false">
      <c r="A247" s="6"/>
      <c r="B247" s="7"/>
      <c r="C247" s="6"/>
      <c r="D247" s="6"/>
      <c r="E247" s="6"/>
      <c r="F247" s="8"/>
      <c r="G247" s="6"/>
      <c r="H247" s="6"/>
      <c r="I247" s="6"/>
    </row>
    <row r="248" customFormat="false" ht="15" hidden="false" customHeight="true" outlineLevel="0" collapsed="false">
      <c r="A248" s="6"/>
      <c r="B248" s="7"/>
      <c r="C248" s="6"/>
      <c r="D248" s="6"/>
      <c r="E248" s="6"/>
      <c r="F248" s="8"/>
      <c r="G248" s="6"/>
      <c r="H248" s="6"/>
      <c r="I248" s="6"/>
    </row>
    <row r="249" customFormat="false" ht="15" hidden="false" customHeight="true" outlineLevel="0" collapsed="false">
      <c r="A249" s="6"/>
      <c r="B249" s="7"/>
      <c r="C249" s="6"/>
      <c r="D249" s="6"/>
      <c r="E249" s="6"/>
      <c r="F249" s="8"/>
      <c r="G249" s="6"/>
      <c r="H249" s="6"/>
      <c r="I249" s="6"/>
    </row>
    <row r="250" customFormat="false" ht="15" hidden="false" customHeight="true" outlineLevel="0" collapsed="false">
      <c r="A250" s="6"/>
      <c r="B250" s="7"/>
      <c r="C250" s="6"/>
      <c r="D250" s="6"/>
      <c r="E250" s="6"/>
      <c r="F250" s="8"/>
      <c r="G250" s="6"/>
      <c r="H250" s="6"/>
      <c r="I250" s="6"/>
    </row>
    <row r="251" customFormat="false" ht="15" hidden="false" customHeight="true" outlineLevel="0" collapsed="false">
      <c r="A251" s="6"/>
      <c r="B251" s="7"/>
      <c r="C251" s="6"/>
      <c r="D251" s="6"/>
      <c r="E251" s="6"/>
      <c r="F251" s="8"/>
      <c r="G251" s="6"/>
      <c r="H251" s="6"/>
      <c r="I251" s="6"/>
    </row>
    <row r="252" customFormat="false" ht="15" hidden="false" customHeight="true" outlineLevel="0" collapsed="false">
      <c r="A252" s="6"/>
      <c r="B252" s="7"/>
      <c r="C252" s="6"/>
      <c r="D252" s="6"/>
      <c r="E252" s="6"/>
      <c r="F252" s="8"/>
      <c r="G252" s="6"/>
      <c r="H252" s="6"/>
      <c r="I252" s="6"/>
    </row>
    <row r="253" customFormat="false" ht="15" hidden="false" customHeight="true" outlineLevel="0" collapsed="false">
      <c r="A253" s="6"/>
      <c r="B253" s="7"/>
      <c r="C253" s="6"/>
      <c r="D253" s="6"/>
      <c r="E253" s="6"/>
      <c r="F253" s="8"/>
      <c r="G253" s="6"/>
      <c r="H253" s="6"/>
      <c r="I253" s="6"/>
    </row>
    <row r="254" customFormat="false" ht="15" hidden="false" customHeight="true" outlineLevel="0" collapsed="false">
      <c r="A254" s="6"/>
      <c r="B254" s="7"/>
      <c r="C254" s="6"/>
      <c r="D254" s="6"/>
      <c r="E254" s="6"/>
      <c r="F254" s="8"/>
      <c r="G254" s="6"/>
      <c r="H254" s="6"/>
      <c r="I254" s="6"/>
    </row>
    <row r="255" customFormat="false" ht="15" hidden="false" customHeight="true" outlineLevel="0" collapsed="false">
      <c r="A255" s="6"/>
      <c r="B255" s="7"/>
      <c r="C255" s="6"/>
      <c r="D255" s="6"/>
      <c r="E255" s="6"/>
      <c r="F255" s="8"/>
      <c r="G255" s="6"/>
      <c r="H255" s="6"/>
      <c r="I255" s="6"/>
    </row>
    <row r="256" customFormat="false" ht="15" hidden="false" customHeight="true" outlineLevel="0" collapsed="false">
      <c r="A256" s="6"/>
      <c r="B256" s="7"/>
      <c r="C256" s="6"/>
      <c r="D256" s="6"/>
      <c r="E256" s="6"/>
      <c r="F256" s="8"/>
      <c r="G256" s="6"/>
      <c r="H256" s="6"/>
      <c r="I256" s="6"/>
    </row>
    <row r="257" customFormat="false" ht="15" hidden="false" customHeight="true" outlineLevel="0" collapsed="false">
      <c r="A257" s="6"/>
      <c r="B257" s="7"/>
      <c r="C257" s="6"/>
      <c r="D257" s="6"/>
      <c r="E257" s="6"/>
      <c r="F257" s="8"/>
      <c r="G257" s="6"/>
      <c r="H257" s="6"/>
      <c r="I257" s="6"/>
    </row>
    <row r="258" customFormat="false" ht="15" hidden="false" customHeight="true" outlineLevel="0" collapsed="false">
      <c r="A258" s="6"/>
      <c r="B258" s="7"/>
      <c r="C258" s="6"/>
      <c r="D258" s="6"/>
      <c r="E258" s="6"/>
      <c r="F258" s="8"/>
      <c r="G258" s="6"/>
      <c r="H258" s="6"/>
      <c r="I258" s="6"/>
    </row>
    <row r="259" customFormat="false" ht="15" hidden="false" customHeight="true" outlineLevel="0" collapsed="false">
      <c r="A259" s="6"/>
      <c r="B259" s="7"/>
      <c r="C259" s="6"/>
      <c r="D259" s="6"/>
      <c r="E259" s="6"/>
      <c r="F259" s="8"/>
      <c r="G259" s="6"/>
      <c r="H259" s="6"/>
      <c r="I259" s="6"/>
    </row>
    <row r="260" customFormat="false" ht="15" hidden="false" customHeight="true" outlineLevel="0" collapsed="false">
      <c r="A260" s="6"/>
      <c r="B260" s="7"/>
      <c r="C260" s="6"/>
      <c r="D260" s="6"/>
      <c r="E260" s="6"/>
      <c r="F260" s="8"/>
      <c r="G260" s="6"/>
      <c r="H260" s="6"/>
      <c r="I260" s="6"/>
    </row>
    <row r="261" customFormat="false" ht="15" hidden="false" customHeight="true" outlineLevel="0" collapsed="false">
      <c r="A261" s="6"/>
      <c r="B261" s="7"/>
      <c r="C261" s="6"/>
      <c r="D261" s="6"/>
      <c r="E261" s="6"/>
      <c r="F261" s="8"/>
      <c r="G261" s="6"/>
      <c r="H261" s="6"/>
      <c r="I261" s="6"/>
    </row>
    <row r="262" customFormat="false" ht="15" hidden="false" customHeight="true" outlineLevel="0" collapsed="false">
      <c r="A262" s="6"/>
      <c r="B262" s="7"/>
      <c r="C262" s="6"/>
      <c r="D262" s="6"/>
      <c r="E262" s="6"/>
      <c r="F262" s="8"/>
      <c r="G262" s="6"/>
      <c r="H262" s="6"/>
      <c r="I262" s="6"/>
    </row>
    <row r="263" customFormat="false" ht="15" hidden="false" customHeight="true" outlineLevel="0" collapsed="false">
      <c r="A263" s="6"/>
      <c r="B263" s="7"/>
      <c r="C263" s="6"/>
      <c r="D263" s="6"/>
      <c r="E263" s="6"/>
      <c r="F263" s="8"/>
      <c r="G263" s="6"/>
      <c r="H263" s="6"/>
      <c r="I263" s="6"/>
    </row>
    <row r="264" customFormat="false" ht="15" hidden="false" customHeight="true" outlineLevel="0" collapsed="false">
      <c r="A264" s="6"/>
      <c r="B264" s="7"/>
      <c r="C264" s="6"/>
      <c r="D264" s="6"/>
      <c r="E264" s="6"/>
      <c r="F264" s="8"/>
      <c r="G264" s="6"/>
      <c r="H264" s="6"/>
      <c r="I264" s="6"/>
    </row>
    <row r="265" customFormat="false" ht="15" hidden="false" customHeight="true" outlineLevel="0" collapsed="false">
      <c r="A265" s="6"/>
      <c r="B265" s="7"/>
      <c r="C265" s="6"/>
      <c r="D265" s="6"/>
      <c r="E265" s="6"/>
      <c r="F265" s="8"/>
      <c r="G265" s="6"/>
      <c r="H265" s="6"/>
      <c r="I265" s="6"/>
    </row>
    <row r="266" customFormat="false" ht="15" hidden="false" customHeight="true" outlineLevel="0" collapsed="false">
      <c r="A266" s="6"/>
      <c r="B266" s="7"/>
      <c r="C266" s="6"/>
      <c r="D266" s="6"/>
      <c r="E266" s="6"/>
      <c r="F266" s="8"/>
      <c r="G266" s="6"/>
      <c r="H266" s="6"/>
      <c r="I266" s="6"/>
    </row>
    <row r="267" customFormat="false" ht="15" hidden="false" customHeight="true" outlineLevel="0" collapsed="false">
      <c r="A267" s="6"/>
      <c r="B267" s="7"/>
      <c r="C267" s="6"/>
      <c r="D267" s="6"/>
      <c r="E267" s="6"/>
      <c r="F267" s="8"/>
      <c r="G267" s="6"/>
      <c r="H267" s="6"/>
      <c r="I267" s="6"/>
    </row>
    <row r="268" customFormat="false" ht="15" hidden="false" customHeight="true" outlineLevel="0" collapsed="false">
      <c r="A268" s="6"/>
      <c r="B268" s="7"/>
      <c r="C268" s="6"/>
      <c r="D268" s="6"/>
      <c r="E268" s="6"/>
      <c r="F268" s="8"/>
      <c r="G268" s="6"/>
      <c r="H268" s="6"/>
      <c r="I268" s="6"/>
    </row>
    <row r="269" customFormat="false" ht="15" hidden="false" customHeight="true" outlineLevel="0" collapsed="false">
      <c r="A269" s="6"/>
      <c r="B269" s="7"/>
      <c r="C269" s="6"/>
      <c r="D269" s="6"/>
      <c r="E269" s="6"/>
      <c r="F269" s="8"/>
      <c r="G269" s="6"/>
      <c r="H269" s="6"/>
      <c r="I269" s="6"/>
    </row>
    <row r="270" customFormat="false" ht="15" hidden="false" customHeight="true" outlineLevel="0" collapsed="false">
      <c r="A270" s="6"/>
      <c r="B270" s="7"/>
      <c r="C270" s="6"/>
      <c r="D270" s="6"/>
      <c r="E270" s="6"/>
      <c r="F270" s="8"/>
      <c r="G270" s="6"/>
      <c r="H270" s="6"/>
      <c r="I270" s="6"/>
    </row>
    <row r="271" customFormat="false" ht="15" hidden="false" customHeight="true" outlineLevel="0" collapsed="false">
      <c r="A271" s="6"/>
      <c r="B271" s="7"/>
      <c r="C271" s="6"/>
      <c r="D271" s="6"/>
      <c r="E271" s="6"/>
      <c r="F271" s="8"/>
      <c r="G271" s="6"/>
      <c r="H271" s="6"/>
      <c r="I271" s="6"/>
    </row>
    <row r="272" customFormat="false" ht="15" hidden="false" customHeight="true" outlineLevel="0" collapsed="false">
      <c r="A272" s="6"/>
      <c r="B272" s="7"/>
      <c r="C272" s="6"/>
      <c r="D272" s="6"/>
      <c r="E272" s="6"/>
      <c r="F272" s="8"/>
      <c r="G272" s="6"/>
      <c r="H272" s="6"/>
      <c r="I272" s="6"/>
    </row>
    <row r="273" customFormat="false" ht="15" hidden="false" customHeight="true" outlineLevel="0" collapsed="false">
      <c r="A273" s="6"/>
      <c r="B273" s="7"/>
      <c r="C273" s="6"/>
      <c r="D273" s="6"/>
      <c r="E273" s="6"/>
      <c r="F273" s="8"/>
      <c r="G273" s="6"/>
      <c r="H273" s="6"/>
      <c r="I273" s="6"/>
    </row>
    <row r="274" customFormat="false" ht="15" hidden="false" customHeight="true" outlineLevel="0" collapsed="false">
      <c r="A274" s="6"/>
      <c r="B274" s="7"/>
      <c r="C274" s="6"/>
      <c r="D274" s="6"/>
      <c r="E274" s="6"/>
      <c r="F274" s="8"/>
      <c r="G274" s="6"/>
      <c r="H274" s="6"/>
      <c r="I274" s="6"/>
    </row>
    <row r="275" customFormat="false" ht="15" hidden="false" customHeight="true" outlineLevel="0" collapsed="false">
      <c r="A275" s="6"/>
      <c r="B275" s="7"/>
      <c r="C275" s="6"/>
      <c r="D275" s="6"/>
      <c r="E275" s="6"/>
      <c r="F275" s="8"/>
      <c r="G275" s="6"/>
      <c r="H275" s="6"/>
      <c r="I275" s="6"/>
    </row>
    <row r="276" customFormat="false" ht="15" hidden="false" customHeight="true" outlineLevel="0" collapsed="false">
      <c r="A276" s="6"/>
      <c r="B276" s="7"/>
      <c r="C276" s="6"/>
      <c r="D276" s="6"/>
      <c r="E276" s="6"/>
      <c r="F276" s="8"/>
      <c r="G276" s="6"/>
      <c r="H276" s="6"/>
      <c r="I276" s="6"/>
    </row>
    <row r="277" customFormat="false" ht="15" hidden="false" customHeight="true" outlineLevel="0" collapsed="false">
      <c r="A277" s="6"/>
      <c r="B277" s="7"/>
      <c r="C277" s="6"/>
      <c r="D277" s="6"/>
      <c r="E277" s="6"/>
      <c r="F277" s="8"/>
      <c r="G277" s="6"/>
      <c r="H277" s="6"/>
      <c r="I277" s="6"/>
    </row>
    <row r="278" customFormat="false" ht="15" hidden="false" customHeight="true" outlineLevel="0" collapsed="false">
      <c r="A278" s="6"/>
      <c r="B278" s="7"/>
      <c r="C278" s="6"/>
      <c r="D278" s="6"/>
      <c r="E278" s="6"/>
      <c r="F278" s="8"/>
      <c r="G278" s="6"/>
      <c r="H278" s="6"/>
      <c r="I278" s="6"/>
    </row>
    <row r="279" customFormat="false" ht="15" hidden="false" customHeight="true" outlineLevel="0" collapsed="false">
      <c r="A279" s="6"/>
      <c r="B279" s="7"/>
      <c r="C279" s="6"/>
      <c r="D279" s="6"/>
      <c r="E279" s="6"/>
      <c r="F279" s="8"/>
      <c r="G279" s="6"/>
      <c r="H279" s="6"/>
      <c r="I279" s="6"/>
    </row>
    <row r="280" customFormat="false" ht="15" hidden="false" customHeight="true" outlineLevel="0" collapsed="false">
      <c r="A280" s="6"/>
      <c r="B280" s="7"/>
      <c r="C280" s="6"/>
      <c r="D280" s="6"/>
      <c r="E280" s="6"/>
      <c r="F280" s="8"/>
      <c r="G280" s="6"/>
      <c r="H280" s="6"/>
      <c r="I280" s="6"/>
    </row>
    <row r="281" customFormat="false" ht="15" hidden="false" customHeight="true" outlineLevel="0" collapsed="false">
      <c r="A281" s="6"/>
      <c r="B281" s="7"/>
      <c r="C281" s="6"/>
      <c r="D281" s="6"/>
      <c r="E281" s="6"/>
      <c r="F281" s="8"/>
      <c r="G281" s="6"/>
      <c r="H281" s="6"/>
      <c r="I281" s="6"/>
    </row>
    <row r="282" customFormat="false" ht="15" hidden="false" customHeight="true" outlineLevel="0" collapsed="false">
      <c r="A282" s="6"/>
      <c r="B282" s="7"/>
      <c r="C282" s="6"/>
      <c r="D282" s="6"/>
      <c r="E282" s="6"/>
      <c r="F282" s="8"/>
      <c r="G282" s="6"/>
      <c r="H282" s="6"/>
      <c r="I282" s="6"/>
    </row>
    <row r="283" customFormat="false" ht="15" hidden="false" customHeight="true" outlineLevel="0" collapsed="false">
      <c r="A283" s="6"/>
      <c r="B283" s="7"/>
      <c r="C283" s="6"/>
      <c r="D283" s="6"/>
      <c r="E283" s="6"/>
      <c r="F283" s="8"/>
      <c r="G283" s="6"/>
      <c r="H283" s="6"/>
      <c r="I283" s="6"/>
    </row>
    <row r="284" customFormat="false" ht="15" hidden="false" customHeight="true" outlineLevel="0" collapsed="false">
      <c r="A284" s="6"/>
      <c r="B284" s="7"/>
      <c r="C284" s="6"/>
      <c r="D284" s="6"/>
      <c r="E284" s="6"/>
      <c r="F284" s="8"/>
      <c r="G284" s="6"/>
      <c r="H284" s="6"/>
      <c r="I284" s="6"/>
    </row>
    <row r="285" customFormat="false" ht="15" hidden="false" customHeight="true" outlineLevel="0" collapsed="false">
      <c r="A285" s="6"/>
      <c r="B285" s="7"/>
      <c r="C285" s="6"/>
      <c r="D285" s="6"/>
      <c r="E285" s="6"/>
      <c r="F285" s="8"/>
      <c r="G285" s="6"/>
      <c r="H285" s="6"/>
      <c r="I285" s="6"/>
    </row>
    <row r="286" customFormat="false" ht="15" hidden="false" customHeight="true" outlineLevel="0" collapsed="false">
      <c r="A286" s="6"/>
      <c r="B286" s="7"/>
      <c r="C286" s="6"/>
      <c r="D286" s="6"/>
      <c r="E286" s="6"/>
      <c r="F286" s="8"/>
      <c r="G286" s="6"/>
      <c r="H286" s="6"/>
      <c r="I286" s="6"/>
    </row>
    <row r="287" customFormat="false" ht="15" hidden="false" customHeight="true" outlineLevel="0" collapsed="false">
      <c r="A287" s="6"/>
      <c r="B287" s="7"/>
      <c r="C287" s="6"/>
      <c r="D287" s="6"/>
      <c r="E287" s="6"/>
      <c r="F287" s="8"/>
      <c r="G287" s="6"/>
      <c r="H287" s="6"/>
      <c r="I287" s="6"/>
    </row>
    <row r="288" customFormat="false" ht="15" hidden="false" customHeight="true" outlineLevel="0" collapsed="false">
      <c r="A288" s="6"/>
      <c r="B288" s="7"/>
      <c r="C288" s="6"/>
      <c r="D288" s="6"/>
      <c r="E288" s="6"/>
      <c r="F288" s="8"/>
      <c r="G288" s="6"/>
      <c r="H288" s="6"/>
      <c r="I288" s="6"/>
    </row>
    <row r="289" customFormat="false" ht="15" hidden="false" customHeight="true" outlineLevel="0" collapsed="false">
      <c r="A289" s="6"/>
      <c r="B289" s="7"/>
      <c r="C289" s="6"/>
      <c r="D289" s="6"/>
      <c r="E289" s="6"/>
      <c r="F289" s="8"/>
      <c r="G289" s="6"/>
      <c r="H289" s="6"/>
      <c r="I289" s="6"/>
    </row>
    <row r="290" customFormat="false" ht="15" hidden="false" customHeight="true" outlineLevel="0" collapsed="false">
      <c r="A290" s="6"/>
      <c r="B290" s="7"/>
      <c r="C290" s="6"/>
      <c r="D290" s="6"/>
      <c r="E290" s="6"/>
      <c r="F290" s="8"/>
      <c r="G290" s="6"/>
      <c r="H290" s="6"/>
      <c r="I290" s="6"/>
    </row>
    <row r="291" customFormat="false" ht="15" hidden="false" customHeight="true" outlineLevel="0" collapsed="false">
      <c r="A291" s="6"/>
      <c r="B291" s="7"/>
      <c r="C291" s="6"/>
      <c r="D291" s="6"/>
      <c r="E291" s="6"/>
      <c r="F291" s="8"/>
      <c r="G291" s="6"/>
      <c r="H291" s="6"/>
      <c r="I291" s="6"/>
    </row>
    <row r="292" customFormat="false" ht="15" hidden="false" customHeight="true" outlineLevel="0" collapsed="false">
      <c r="A292" s="6"/>
      <c r="B292" s="7"/>
      <c r="C292" s="6"/>
      <c r="D292" s="6"/>
      <c r="E292" s="6"/>
      <c r="F292" s="8"/>
      <c r="G292" s="6"/>
      <c r="H292" s="6"/>
      <c r="I292" s="6"/>
    </row>
    <row r="293" customFormat="false" ht="15" hidden="false" customHeight="true" outlineLevel="0" collapsed="false">
      <c r="A293" s="6"/>
      <c r="B293" s="7"/>
      <c r="C293" s="6"/>
      <c r="D293" s="6"/>
      <c r="E293" s="6"/>
      <c r="F293" s="8"/>
      <c r="G293" s="6"/>
      <c r="H293" s="6"/>
      <c r="I293" s="6"/>
    </row>
    <row r="294" customFormat="false" ht="15" hidden="false" customHeight="true" outlineLevel="0" collapsed="false">
      <c r="A294" s="6"/>
      <c r="B294" s="7"/>
      <c r="C294" s="6"/>
      <c r="D294" s="6"/>
      <c r="E294" s="6"/>
      <c r="F294" s="8"/>
      <c r="G294" s="6"/>
      <c r="H294" s="6"/>
      <c r="I294" s="6"/>
    </row>
    <row r="295" customFormat="false" ht="15" hidden="false" customHeight="true" outlineLevel="0" collapsed="false">
      <c r="A295" s="6"/>
      <c r="B295" s="7"/>
      <c r="C295" s="6"/>
      <c r="D295" s="6"/>
      <c r="E295" s="6"/>
      <c r="F295" s="8"/>
      <c r="G295" s="6"/>
      <c r="H295" s="6"/>
      <c r="I295" s="6"/>
    </row>
    <row r="296" customFormat="false" ht="15" hidden="false" customHeight="true" outlineLevel="0" collapsed="false">
      <c r="A296" s="6"/>
      <c r="B296" s="7"/>
      <c r="C296" s="6"/>
      <c r="D296" s="6"/>
      <c r="E296" s="6"/>
      <c r="F296" s="8"/>
      <c r="G296" s="6"/>
      <c r="H296" s="6"/>
      <c r="I296" s="6"/>
    </row>
    <row r="297" customFormat="false" ht="15" hidden="false" customHeight="true" outlineLevel="0" collapsed="false">
      <c r="A297" s="6"/>
      <c r="B297" s="7"/>
      <c r="C297" s="6"/>
      <c r="D297" s="6"/>
      <c r="E297" s="6"/>
      <c r="F297" s="8"/>
      <c r="G297" s="6"/>
      <c r="H297" s="6"/>
      <c r="I297" s="6"/>
    </row>
    <row r="298" customFormat="false" ht="15" hidden="false" customHeight="true" outlineLevel="0" collapsed="false">
      <c r="A298" s="6"/>
      <c r="B298" s="7"/>
      <c r="C298" s="6"/>
      <c r="D298" s="6"/>
      <c r="E298" s="6"/>
      <c r="F298" s="8"/>
      <c r="G298" s="6"/>
      <c r="H298" s="6"/>
      <c r="I298" s="6"/>
    </row>
    <row r="299" customFormat="false" ht="15" hidden="false" customHeight="true" outlineLevel="0" collapsed="false">
      <c r="A299" s="6"/>
      <c r="B299" s="7"/>
      <c r="C299" s="6"/>
      <c r="D299" s="6"/>
      <c r="E299" s="6"/>
      <c r="F299" s="8"/>
      <c r="G299" s="6"/>
      <c r="H299" s="6"/>
      <c r="I299" s="6"/>
    </row>
    <row r="300" customFormat="false" ht="15" hidden="false" customHeight="true" outlineLevel="0" collapsed="false">
      <c r="A300" s="6"/>
      <c r="B300" s="7"/>
      <c r="C300" s="6"/>
      <c r="D300" s="6"/>
      <c r="E300" s="6"/>
      <c r="F300" s="8"/>
      <c r="G300" s="6"/>
      <c r="H300" s="6"/>
      <c r="I300" s="6"/>
    </row>
  </sheetData>
  <autoFilter ref="A1:I300"/>
  <dataValidations count="5">
    <dataValidation allowBlank="true" errorStyle="stop" operator="between" showDropDown="false" showErrorMessage="false" showInputMessage="false" sqref="D2:D300" type="list">
      <formula1>Listas!$D$2:$D$200</formula1>
      <formula2>0</formula2>
    </dataValidation>
    <dataValidation allowBlank="true" errorStyle="stop" operator="between" showDropDown="false" showErrorMessage="false" showInputMessage="false" sqref="E2:E300" type="list">
      <formula1>Listas!$B$2:$B$200</formula1>
      <formula2>0</formula2>
    </dataValidation>
    <dataValidation allowBlank="true" errorStyle="stop" operator="between" showDropDown="false" showErrorMessage="false" showInputMessage="false" sqref="G2:G300" type="list">
      <formula1>Listas!$C$2:$C$200</formula1>
      <formula2>0</formula2>
    </dataValidation>
    <dataValidation allowBlank="true" errorStyle="stop" operator="between" showDropDown="false" showErrorMessage="false" showInputMessage="false" sqref="H2:H300" type="list">
      <formula1>Listas!$A$2:$A$200</formula1>
      <formula2>0</formula2>
    </dataValidation>
    <dataValidation allowBlank="true" errorStyle="stop" operator="between" showDropDown="false" showErrorMessage="false" showInputMessage="false" sqref="I2:I300" type="list">
      <formula1>Listas!$E$2:$E$200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9" t="s">
        <v>56</v>
      </c>
      <c r="B1" s="9" t="s">
        <v>86</v>
      </c>
      <c r="C1" s="10" t="s">
        <v>58</v>
      </c>
      <c r="D1" s="10" t="s">
        <v>14</v>
      </c>
      <c r="E1" s="10" t="s">
        <v>87</v>
      </c>
      <c r="F1" s="10" t="s">
        <v>11</v>
      </c>
      <c r="G1" s="10" t="s">
        <v>15</v>
      </c>
      <c r="H1" s="9" t="s">
        <v>88</v>
      </c>
      <c r="I1" s="9" t="s">
        <v>16</v>
      </c>
    </row>
    <row r="2" customFormat="false" ht="15" hidden="false" customHeight="false" outlineLevel="0" collapsed="false">
      <c r="A2" s="11" t="s">
        <v>60</v>
      </c>
      <c r="B2" s="12"/>
      <c r="C2" s="13" t="str">
        <f aca="false">IF($A2="","",IFERROR(INDEX(Maestro!$C:$C,MATCH($A2,Maestro!$A:$A,0)),"Código no existe"))</f>
        <v>Vinagre blanco</v>
      </c>
      <c r="D2" s="13" t="str">
        <f aca="false">IF($A2="","",IFERROR(INDEX(Maestro!$D:$D,MATCH($A2,Maestro!$A:$A,0))&amp;"",""))</f>
        <v>Ricocina</v>
      </c>
      <c r="E2" s="13" t="str">
        <f aca="false">IF($A2="","",IFERROR(IF(INDEX(Maestro!$I:$I,MATCH($A2,Maestro!$A:$A,0))="Peso","Por libra",TRIM(INDEX(Maestro!$E:$E,MATCH($A2,Maestro!$A:$A,0))&amp;" "&amp;INDEX(Maestro!$F:$F,MATCH($A2,Maestro!$A:$A,0))&amp;" "&amp;INDEX(Maestro!$G:$G,MATCH($A2,Maestro!$A:$A,0)))),""))</f>
        <v>Botella plástica 500 ml</v>
      </c>
      <c r="F2" s="13" t="str">
        <f aca="false">IF($A2="","",IFERROR(INDEX(Maestro!$H:$H,MATCH($A2,Maestro!$A:$A,0))&amp;"",""))</f>
        <v>Despensa</v>
      </c>
      <c r="G2" s="13" t="str">
        <f aca="false">IF($A2="","",IFERROR(INDEX(Maestro!$I:$I,MATCH($A2,Maestro!$A:$A,0))&amp;"",""))</f>
        <v>Unidad</v>
      </c>
      <c r="H2" s="14" t="n">
        <v>5000</v>
      </c>
      <c r="I2" s="11" t="s">
        <v>21</v>
      </c>
    </row>
    <row r="3" customFormat="false" ht="15" hidden="false" customHeight="false" outlineLevel="0" collapsed="false">
      <c r="A3" s="11" t="s">
        <v>62</v>
      </c>
      <c r="B3" s="12"/>
      <c r="C3" s="13" t="str">
        <f aca="false">IF($A3="","",IFERROR(INDEX(Maestro!$C:$C,MATCH($A3,Maestro!$A:$A,0)),"Código no existe"))</f>
        <v>Arroz</v>
      </c>
      <c r="D3" s="13" t="str">
        <f aca="false">IF($A3="","",IFERROR(INDEX(Maestro!$D:$D,MATCH($A3,Maestro!$A:$A,0))&amp;"",""))</f>
        <v>Diana</v>
      </c>
      <c r="E3" s="13" t="str">
        <f aca="false">IF($A3="","",IFERROR(IF(INDEX(Maestro!$I:$I,MATCH($A3,Maestro!$A:$A,0))="Peso","Por libra",TRIM(INDEX(Maestro!$E:$E,MATCH($A3,Maestro!$A:$A,0))&amp;" "&amp;INDEX(Maestro!$F:$F,MATCH($A3,Maestro!$A:$A,0))&amp;" "&amp;INDEX(Maestro!$G:$G,MATCH($A3,Maestro!$A:$A,0)))),""))</f>
        <v>Bolsa 1 libra</v>
      </c>
      <c r="F3" s="13" t="str">
        <f aca="false">IF($A3="","",IFERROR(INDEX(Maestro!$H:$H,MATCH($A3,Maestro!$A:$A,0))&amp;"",""))</f>
        <v>Despensa</v>
      </c>
      <c r="G3" s="13" t="str">
        <f aca="false">IF($A3="","",IFERROR(INDEX(Maestro!$I:$I,MATCH($A3,Maestro!$A:$A,0))&amp;"",""))</f>
        <v>Unidad</v>
      </c>
      <c r="H3" s="14" t="n">
        <v>2800</v>
      </c>
      <c r="I3" s="11" t="s">
        <v>21</v>
      </c>
    </row>
    <row r="4" customFormat="false" ht="15" hidden="false" customHeight="false" outlineLevel="0" collapsed="false">
      <c r="A4" s="11" t="s">
        <v>65</v>
      </c>
      <c r="B4" s="12"/>
      <c r="C4" s="13" t="str">
        <f aca="false">IF($A4="","",IFERROR(INDEX(Maestro!$C:$C,MATCH($A4,Maestro!$A:$A,0)),"Código no existe"))</f>
        <v>Agua</v>
      </c>
      <c r="D4" s="13" t="str">
        <f aca="false">IF($A4="","",IFERROR(INDEX(Maestro!$D:$D,MATCH($A4,Maestro!$A:$A,0))&amp;"",""))</f>
        <v>Cristal</v>
      </c>
      <c r="E4" s="13" t="str">
        <f aca="false">IF($A4="","",IFERROR(IF(INDEX(Maestro!$I:$I,MATCH($A4,Maestro!$A:$A,0))="Peso","Por libra",TRIM(INDEX(Maestro!$E:$E,MATCH($A4,Maestro!$A:$A,0))&amp;" "&amp;INDEX(Maestro!$F:$F,MATCH($A4,Maestro!$A:$A,0))&amp;" "&amp;INDEX(Maestro!$G:$G,MATCH($A4,Maestro!$A:$A,0)))),""))</f>
        <v>Paca 6 unidades</v>
      </c>
      <c r="F4" s="13" t="str">
        <f aca="false">IF($A4="","",IFERROR(INDEX(Maestro!$H:$H,MATCH($A4,Maestro!$A:$A,0))&amp;"",""))</f>
        <v>Bebidas</v>
      </c>
      <c r="G4" s="13" t="str">
        <f aca="false">IF($A4="","",IFERROR(INDEX(Maestro!$I:$I,MATCH($A4,Maestro!$A:$A,0))&amp;"",""))</f>
        <v>Unidad</v>
      </c>
      <c r="H4" s="14" t="n">
        <v>11000</v>
      </c>
      <c r="I4" s="11" t="s">
        <v>21</v>
      </c>
    </row>
    <row r="5" customFormat="false" ht="15" hidden="false" customHeight="false" outlineLevel="0" collapsed="false">
      <c r="A5" s="11" t="s">
        <v>67</v>
      </c>
      <c r="B5" s="12"/>
      <c r="C5" s="13" t="str">
        <f aca="false">IF($A5="","",IFERROR(INDEX(Maestro!$C:$C,MATCH($A5,Maestro!$A:$A,0)),"Código no existe"))</f>
        <v>Huevos AA</v>
      </c>
      <c r="D5" s="13" t="str">
        <f aca="false">IF($A5="","",IFERROR(INDEX(Maestro!$D:$D,MATCH($A5,Maestro!$A:$A,0))&amp;"",""))</f>
        <v/>
      </c>
      <c r="E5" s="13" t="str">
        <f aca="false">IF($A5="","",IFERROR(IF(INDEX(Maestro!$I:$I,MATCH($A5,Maestro!$A:$A,0))="Peso","Por libra",TRIM(INDEX(Maestro!$E:$E,MATCH($A5,Maestro!$A:$A,0))&amp;" "&amp;INDEX(Maestro!$F:$F,MATCH($A5,Maestro!$A:$A,0))&amp;" "&amp;INDEX(Maestro!$G:$G,MATCH($A5,Maestro!$A:$A,0)))),""))</f>
        <v>Cubeta 30 huevos</v>
      </c>
      <c r="F5" s="13" t="str">
        <f aca="false">IF($A5="","",IFERROR(INDEX(Maestro!$H:$H,MATCH($A5,Maestro!$A:$A,0))&amp;"",""))</f>
        <v>Despensa</v>
      </c>
      <c r="G5" s="13" t="str">
        <f aca="false">IF($A5="","",IFERROR(INDEX(Maestro!$I:$I,MATCH($A5,Maestro!$A:$A,0))&amp;"",""))</f>
        <v>Unidad</v>
      </c>
      <c r="H5" s="14" t="n">
        <v>18000</v>
      </c>
      <c r="I5" s="11" t="s">
        <v>21</v>
      </c>
    </row>
    <row r="6" customFormat="false" ht="15" hidden="false" customHeight="false" outlineLevel="0" collapsed="false">
      <c r="A6" s="11" t="s">
        <v>69</v>
      </c>
      <c r="B6" s="12"/>
      <c r="C6" s="13" t="str">
        <f aca="false">IF($A6="","",IFERROR(INDEX(Maestro!$C:$C,MATCH($A6,Maestro!$A:$A,0)),"Código no existe"))</f>
        <v>Pan de bono</v>
      </c>
      <c r="D6" s="13" t="str">
        <f aca="false">IF($A6="","",IFERROR(INDEX(Maestro!$D:$D,MATCH($A6,Maestro!$A:$A,0))&amp;"",""))</f>
        <v/>
      </c>
      <c r="E6" s="13" t="str">
        <f aca="false">IF($A6="","",IFERROR(IF(INDEX(Maestro!$I:$I,MATCH($A6,Maestro!$A:$A,0))="Peso","Por libra",TRIM(INDEX(Maestro!$E:$E,MATCH($A6,Maestro!$A:$A,0))&amp;" "&amp;INDEX(Maestro!$F:$F,MATCH($A6,Maestro!$A:$A,0))&amp;" "&amp;INDEX(Maestro!$G:$G,MATCH($A6,Maestro!$A:$A,0)))),""))</f>
        <v>Unidad</v>
      </c>
      <c r="F6" s="13" t="str">
        <f aca="false">IF($A6="","",IFERROR(INDEX(Maestro!$H:$H,MATCH($A6,Maestro!$A:$A,0))&amp;"",""))</f>
        <v>Panadería</v>
      </c>
      <c r="G6" s="13" t="str">
        <f aca="false">IF($A6="","",IFERROR(INDEX(Maestro!$I:$I,MATCH($A6,Maestro!$A:$A,0))&amp;"",""))</f>
        <v>Unidad</v>
      </c>
      <c r="H6" s="14" t="n">
        <v>1500</v>
      </c>
      <c r="I6" s="11" t="s">
        <v>21</v>
      </c>
    </row>
    <row r="7" customFormat="false" ht="15" hidden="false" customHeight="false" outlineLevel="0" collapsed="false">
      <c r="A7" s="11" t="s">
        <v>71</v>
      </c>
      <c r="B7" s="12"/>
      <c r="C7" s="13" t="str">
        <f aca="false">IF($A7="","",IFERROR(INDEX(Maestro!$C:$C,MATCH($A7,Maestro!$A:$A,0)),"Código no existe"))</f>
        <v>Leche</v>
      </c>
      <c r="D7" s="13" t="str">
        <f aca="false">IF($A7="","",IFERROR(INDEX(Maestro!$D:$D,MATCH($A7,Maestro!$A:$A,0))&amp;"",""))</f>
        <v>Alquería</v>
      </c>
      <c r="E7" s="13" t="str">
        <f aca="false">IF($A7="","",IFERROR(IF(INDEX(Maestro!$I:$I,MATCH($A7,Maestro!$A:$A,0))="Peso","Por libra",TRIM(INDEX(Maestro!$E:$E,MATCH($A7,Maestro!$A:$A,0))&amp;" "&amp;INDEX(Maestro!$F:$F,MATCH($A7,Maestro!$A:$A,0))&amp;" "&amp;INDEX(Maestro!$G:$G,MATCH($A7,Maestro!$A:$A,0)))),""))</f>
        <v>Bolsa 500 ml</v>
      </c>
      <c r="F7" s="13" t="str">
        <f aca="false">IF($A7="","",IFERROR(INDEX(Maestro!$H:$H,MATCH($A7,Maestro!$A:$A,0))&amp;"",""))</f>
        <v>Lácteos</v>
      </c>
      <c r="G7" s="13" t="str">
        <f aca="false">IF($A7="","",IFERROR(INDEX(Maestro!$I:$I,MATCH($A7,Maestro!$A:$A,0))&amp;"",""))</f>
        <v>Unidad</v>
      </c>
      <c r="H7" s="14" t="n">
        <v>5000</v>
      </c>
      <c r="I7" s="11" t="s">
        <v>21</v>
      </c>
    </row>
    <row r="8" customFormat="false" ht="15" hidden="false" customHeight="false" outlineLevel="0" collapsed="false">
      <c r="A8" s="11" t="s">
        <v>73</v>
      </c>
      <c r="B8" s="12"/>
      <c r="C8" s="13" t="str">
        <f aca="false">IF($A8="","",IFERROR(INDEX(Maestro!$C:$C,MATCH($A8,Maestro!$A:$A,0)),"Código no existe"))</f>
        <v>Leche en polvo</v>
      </c>
      <c r="D8" s="13" t="str">
        <f aca="false">IF($A8="","",IFERROR(INDEX(Maestro!$D:$D,MATCH($A8,Maestro!$A:$A,0))&amp;"",""))</f>
        <v>Alquería</v>
      </c>
      <c r="E8" s="13" t="str">
        <f aca="false">IF($A8="","",IFERROR(IF(INDEX(Maestro!$I:$I,MATCH($A8,Maestro!$A:$A,0))="Peso","Por libra",TRIM(INDEX(Maestro!$E:$E,MATCH($A8,Maestro!$A:$A,0))&amp;" "&amp;INDEX(Maestro!$F:$F,MATCH($A8,Maestro!$A:$A,0))&amp;" "&amp;INDEX(Maestro!$G:$G,MATCH($A8,Maestro!$A:$A,0)))),""))</f>
        <v>Bolsa 250 g</v>
      </c>
      <c r="F8" s="13" t="str">
        <f aca="false">IF($A8="","",IFERROR(INDEX(Maestro!$H:$H,MATCH($A8,Maestro!$A:$A,0))&amp;"",""))</f>
        <v>Lácteos</v>
      </c>
      <c r="G8" s="13" t="str">
        <f aca="false">IF($A8="","",IFERROR(INDEX(Maestro!$I:$I,MATCH($A8,Maestro!$A:$A,0))&amp;"",""))</f>
        <v>Unidad</v>
      </c>
      <c r="H8" s="14" t="n">
        <v>2500</v>
      </c>
      <c r="I8" s="11" t="s">
        <v>21</v>
      </c>
    </row>
    <row r="9" customFormat="false" ht="15" hidden="false" customHeight="false" outlineLevel="0" collapsed="false">
      <c r="A9" s="11" t="s">
        <v>75</v>
      </c>
      <c r="B9" s="12"/>
      <c r="C9" s="13" t="str">
        <f aca="false">IF($A9="","",IFERROR(INDEX(Maestro!$C:$C,MATCH($A9,Maestro!$A:$A,0)),"Código no existe"))</f>
        <v>Aceite de oliva</v>
      </c>
      <c r="D9" s="13" t="str">
        <f aca="false">IF($A9="","",IFERROR(INDEX(Maestro!$D:$D,MATCH($A9,Maestro!$A:$A,0))&amp;"",""))</f>
        <v>Olivetto</v>
      </c>
      <c r="E9" s="13" t="str">
        <f aca="false">IF($A9="","",IFERROR(IF(INDEX(Maestro!$I:$I,MATCH($A9,Maestro!$A:$A,0))="Peso","Por libra",TRIM(INDEX(Maestro!$E:$E,MATCH($A9,Maestro!$A:$A,0))&amp;" "&amp;INDEX(Maestro!$F:$F,MATCH($A9,Maestro!$A:$A,0))&amp;" "&amp;INDEX(Maestro!$G:$G,MATCH($A9,Maestro!$A:$A,0)))),""))</f>
        <v>Botella vidrio 500 ml</v>
      </c>
      <c r="F9" s="13" t="str">
        <f aca="false">IF($A9="","",IFERROR(INDEX(Maestro!$H:$H,MATCH($A9,Maestro!$A:$A,0))&amp;"",""))</f>
        <v>Despensa</v>
      </c>
      <c r="G9" s="13" t="str">
        <f aca="false">IF($A9="","",IFERROR(INDEX(Maestro!$I:$I,MATCH($A9,Maestro!$A:$A,0))&amp;"",""))</f>
        <v>Unidad</v>
      </c>
      <c r="H9" s="14" t="n">
        <v>20000</v>
      </c>
      <c r="I9" s="11" t="s">
        <v>21</v>
      </c>
    </row>
    <row r="10" customFormat="false" ht="15" hidden="false" customHeight="false" outlineLevel="0" collapsed="false">
      <c r="A10" s="11" t="s">
        <v>77</v>
      </c>
      <c r="B10" s="12"/>
      <c r="C10" s="13" t="str">
        <f aca="false">IF($A10="","",IFERROR(INDEX(Maestro!$C:$C,MATCH($A10,Maestro!$A:$A,0)),"Código no existe"))</f>
        <v>Aceite vegetal</v>
      </c>
      <c r="D10" s="13" t="str">
        <f aca="false">IF($A10="","",IFERROR(INDEX(Maestro!$D:$D,MATCH($A10,Maestro!$A:$A,0))&amp;"",""))</f>
        <v>Samario</v>
      </c>
      <c r="E10" s="13" t="str">
        <f aca="false">IF($A10="","",IFERROR(IF(INDEX(Maestro!$I:$I,MATCH($A10,Maestro!$A:$A,0))="Peso","Por libra",TRIM(INDEX(Maestro!$E:$E,MATCH($A10,Maestro!$A:$A,0))&amp;" "&amp;INDEX(Maestro!$F:$F,MATCH($A10,Maestro!$A:$A,0))&amp;" "&amp;INDEX(Maestro!$G:$G,MATCH($A10,Maestro!$A:$A,0)))),""))</f>
        <v>Botella plástica 500 ml</v>
      </c>
      <c r="F10" s="13" t="str">
        <f aca="false">IF($A10="","",IFERROR(INDEX(Maestro!$H:$H,MATCH($A10,Maestro!$A:$A,0))&amp;"",""))</f>
        <v>Despensa</v>
      </c>
      <c r="G10" s="13" t="str">
        <f aca="false">IF($A10="","",IFERROR(INDEX(Maestro!$I:$I,MATCH($A10,Maestro!$A:$A,0))&amp;"",""))</f>
        <v>Unidad</v>
      </c>
      <c r="H10" s="14" t="n">
        <v>10000</v>
      </c>
      <c r="I10" s="11" t="s">
        <v>21</v>
      </c>
    </row>
    <row r="11" customFormat="false" ht="15" hidden="false" customHeight="false" outlineLevel="0" collapsed="false">
      <c r="A11" s="11" t="s">
        <v>79</v>
      </c>
      <c r="B11" s="12"/>
      <c r="C11" s="13" t="str">
        <f aca="false">IF($A11="","",IFERROR(INDEX(Maestro!$C:$C,MATCH($A11,Maestro!$A:$A,0)),"Código no existe"))</f>
        <v>Condimento comino</v>
      </c>
      <c r="D11" s="13" t="str">
        <f aca="false">IF($A11="","",IFERROR(INDEX(Maestro!$D:$D,MATCH($A11,Maestro!$A:$A,0))&amp;"",""))</f>
        <v>El Rey</v>
      </c>
      <c r="E11" s="13" t="str">
        <f aca="false">IF($A11="","",IFERROR(IF(INDEX(Maestro!$I:$I,MATCH($A11,Maestro!$A:$A,0))="Peso","Por libra",TRIM(INDEX(Maestro!$E:$E,MATCH($A11,Maestro!$A:$A,0))&amp;" "&amp;INDEX(Maestro!$F:$F,MATCH($A11,Maestro!$A:$A,0))&amp;" "&amp;INDEX(Maestro!$G:$G,MATCH($A11,Maestro!$A:$A,0)))),""))</f>
        <v>Caja 250 g</v>
      </c>
      <c r="F11" s="13" t="str">
        <f aca="false">IF($A11="","",IFERROR(INDEX(Maestro!$H:$H,MATCH($A11,Maestro!$A:$A,0))&amp;"",""))</f>
        <v>Despensa</v>
      </c>
      <c r="G11" s="13" t="str">
        <f aca="false">IF($A11="","",IFERROR(INDEX(Maestro!$I:$I,MATCH($A11,Maestro!$A:$A,0))&amp;"",""))</f>
        <v>Unidad</v>
      </c>
      <c r="H11" s="14" t="n">
        <v>10000</v>
      </c>
      <c r="I11" s="11" t="s">
        <v>21</v>
      </c>
    </row>
    <row r="12" customFormat="false" ht="15" hidden="false" customHeight="false" outlineLevel="0" collapsed="false">
      <c r="A12" s="11" t="s">
        <v>81</v>
      </c>
      <c r="B12" s="12"/>
      <c r="C12" s="13" t="str">
        <f aca="false">IF($A12="","",IFERROR(INDEX(Maestro!$C:$C,MATCH($A12,Maestro!$A:$A,0)),"Código no existe"))</f>
        <v>Vinagre blanco</v>
      </c>
      <c r="D12" s="13" t="str">
        <f aca="false">IF($A12="","",IFERROR(INDEX(Maestro!$D:$D,MATCH($A12,Maestro!$A:$A,0))&amp;"",""))</f>
        <v>La Constancia</v>
      </c>
      <c r="E12" s="13" t="str">
        <f aca="false">IF($A12="","",IFERROR(IF(INDEX(Maestro!$I:$I,MATCH($A12,Maestro!$A:$A,0))="Peso","Por libra",TRIM(INDEX(Maestro!$E:$E,MATCH($A12,Maestro!$A:$A,0))&amp;" "&amp;INDEX(Maestro!$F:$F,MATCH($A12,Maestro!$A:$A,0))&amp;" "&amp;INDEX(Maestro!$G:$G,MATCH($A12,Maestro!$A:$A,0)))),""))</f>
        <v>Botella plástica 500 ml</v>
      </c>
      <c r="F12" s="13" t="str">
        <f aca="false">IF($A12="","",IFERROR(INDEX(Maestro!$H:$H,MATCH($A12,Maestro!$A:$A,0))&amp;"",""))</f>
        <v>Despensa</v>
      </c>
      <c r="G12" s="13" t="str">
        <f aca="false">IF($A12="","",IFERROR(INDEX(Maestro!$I:$I,MATCH($A12,Maestro!$A:$A,0))&amp;"",""))</f>
        <v>Unidad</v>
      </c>
      <c r="H12" s="14" t="n">
        <v>4800</v>
      </c>
      <c r="I12" s="11" t="s">
        <v>21</v>
      </c>
    </row>
    <row r="13" customFormat="false" ht="15" hidden="false" customHeight="false" outlineLevel="0" collapsed="false">
      <c r="A13" s="11" t="s">
        <v>82</v>
      </c>
      <c r="B13" s="12"/>
      <c r="C13" s="13" t="str">
        <f aca="false">IF($A13="","",IFERROR(INDEX(Maestro!$C:$C,MATCH($A13,Maestro!$A:$A,0)),"Código no existe"))</f>
        <v>Carne molida</v>
      </c>
      <c r="D13" s="13" t="str">
        <f aca="false">IF($A13="","",IFERROR(INDEX(Maestro!$D:$D,MATCH($A13,Maestro!$A:$A,0))&amp;"",""))</f>
        <v/>
      </c>
      <c r="E13" s="13" t="str">
        <f aca="false">IF($A13="","",IFERROR(IF(INDEX(Maestro!$I:$I,MATCH($A13,Maestro!$A:$A,0))="Peso","Por libra",TRIM(INDEX(Maestro!$E:$E,MATCH($A13,Maestro!$A:$A,0))&amp;" "&amp;INDEX(Maestro!$F:$F,MATCH($A13,Maestro!$A:$A,0))&amp;" "&amp;INDEX(Maestro!$G:$G,MATCH($A13,Maestro!$A:$A,0)))),""))</f>
        <v>Por libra</v>
      </c>
      <c r="F13" s="13" t="str">
        <f aca="false">IF($A13="","",IFERROR(INDEX(Maestro!$H:$H,MATCH($A13,Maestro!$A:$A,0))&amp;"",""))</f>
        <v>Carnes</v>
      </c>
      <c r="G13" s="13" t="str">
        <f aca="false">IF($A13="","",IFERROR(INDEX(Maestro!$I:$I,MATCH($A13,Maestro!$A:$A,0))&amp;"",""))</f>
        <v>Peso</v>
      </c>
      <c r="H13" s="14" t="n">
        <v>12000</v>
      </c>
      <c r="I13" s="11" t="s">
        <v>21</v>
      </c>
    </row>
    <row r="14" customFormat="false" ht="15" hidden="false" customHeight="false" outlineLevel="0" collapsed="false">
      <c r="A14" s="11" t="s">
        <v>84</v>
      </c>
      <c r="B14" s="12"/>
      <c r="C14" s="13" t="str">
        <f aca="false">IF($A14="","",IFERROR(INDEX(Maestro!$C:$C,MATCH($A14,Maestro!$A:$A,0)),"Código no existe"))</f>
        <v>Queso costeño</v>
      </c>
      <c r="D14" s="13" t="str">
        <f aca="false">IF($A14="","",IFERROR(INDEX(Maestro!$D:$D,MATCH($A14,Maestro!$A:$A,0))&amp;"",""))</f>
        <v/>
      </c>
      <c r="E14" s="13" t="str">
        <f aca="false">IF($A14="","",IFERROR(IF(INDEX(Maestro!$I:$I,MATCH($A14,Maestro!$A:$A,0))="Peso","Por libra",TRIM(INDEX(Maestro!$E:$E,MATCH($A14,Maestro!$A:$A,0))&amp;" "&amp;INDEX(Maestro!$F:$F,MATCH($A14,Maestro!$A:$A,0))&amp;" "&amp;INDEX(Maestro!$G:$G,MATCH($A14,Maestro!$A:$A,0)))),""))</f>
        <v>Por libra</v>
      </c>
      <c r="F14" s="13" t="str">
        <f aca="false">IF($A14="","",IFERROR(INDEX(Maestro!$H:$H,MATCH($A14,Maestro!$A:$A,0))&amp;"",""))</f>
        <v>Lácteos</v>
      </c>
      <c r="G14" s="13" t="str">
        <f aca="false">IF($A14="","",IFERROR(INDEX(Maestro!$I:$I,MATCH($A14,Maestro!$A:$A,0))&amp;"",""))</f>
        <v>Peso</v>
      </c>
      <c r="H14" s="14" t="n">
        <v>20000</v>
      </c>
      <c r="I14" s="11" t="s">
        <v>21</v>
      </c>
    </row>
    <row r="15" customFormat="false" ht="15" hidden="false" customHeight="false" outlineLevel="0" collapsed="false">
      <c r="A15" s="11"/>
      <c r="B15" s="12"/>
      <c r="C15" s="13" t="str">
        <f aca="false">IF($A15="","",IFERROR(INDEX(Maestro!$C:$C,MATCH($A15,Maestro!$A:$A,0)),"Código no existe"))</f>
        <v/>
      </c>
      <c r="D15" s="13" t="str">
        <f aca="false">IF($A15="","",IFERROR(INDEX(Maestro!$D:$D,MATCH($A15,Maestro!$A:$A,0))&amp;"",""))</f>
        <v/>
      </c>
      <c r="E15" s="13" t="str">
        <f aca="false">IF($A15="","",IFERROR(IF(INDEX(Maestro!$I:$I,MATCH($A15,Maestro!$A:$A,0))="Peso","Por libra",TRIM(INDEX(Maestro!$E:$E,MATCH($A15,Maestro!$A:$A,0))&amp;" "&amp;INDEX(Maestro!$F:$F,MATCH($A15,Maestro!$A:$A,0))&amp;" "&amp;INDEX(Maestro!$G:$G,MATCH($A15,Maestro!$A:$A,0)))),""))</f>
        <v/>
      </c>
      <c r="F15" s="13" t="str">
        <f aca="false">IF($A15="","",IFERROR(INDEX(Maestro!$H:$H,MATCH($A15,Maestro!$A:$A,0))&amp;"",""))</f>
        <v/>
      </c>
      <c r="G15" s="13" t="str">
        <f aca="false">IF($A15="","",IFERROR(INDEX(Maestro!$I:$I,MATCH($A15,Maestro!$A:$A,0))&amp;"",""))</f>
        <v/>
      </c>
      <c r="H15" s="14"/>
      <c r="I15" s="11"/>
    </row>
    <row r="16" customFormat="false" ht="15" hidden="false" customHeight="false" outlineLevel="0" collapsed="false">
      <c r="A16" s="11"/>
      <c r="B16" s="12"/>
      <c r="C16" s="13" t="str">
        <f aca="false">IF($A16="","",IFERROR(INDEX(Maestro!$C:$C,MATCH($A16,Maestro!$A:$A,0)),"Código no existe"))</f>
        <v/>
      </c>
      <c r="D16" s="13" t="str">
        <f aca="false">IF($A16="","",IFERROR(INDEX(Maestro!$D:$D,MATCH($A16,Maestro!$A:$A,0))&amp;"",""))</f>
        <v/>
      </c>
      <c r="E16" s="13" t="str">
        <f aca="false">IF($A16="","",IFERROR(IF(INDEX(Maestro!$I:$I,MATCH($A16,Maestro!$A:$A,0))="Peso","Por libra",TRIM(INDEX(Maestro!$E:$E,MATCH($A16,Maestro!$A:$A,0))&amp;" "&amp;INDEX(Maestro!$F:$F,MATCH($A16,Maestro!$A:$A,0))&amp;" "&amp;INDEX(Maestro!$G:$G,MATCH($A16,Maestro!$A:$A,0)))),""))</f>
        <v/>
      </c>
      <c r="F16" s="13" t="str">
        <f aca="false">IF($A16="","",IFERROR(INDEX(Maestro!$H:$H,MATCH($A16,Maestro!$A:$A,0))&amp;"",""))</f>
        <v/>
      </c>
      <c r="G16" s="13" t="str">
        <f aca="false">IF($A16="","",IFERROR(INDEX(Maestro!$I:$I,MATCH($A16,Maestro!$A:$A,0))&amp;"",""))</f>
        <v/>
      </c>
      <c r="H16" s="14"/>
      <c r="I16" s="11"/>
    </row>
    <row r="17" customFormat="false" ht="15" hidden="false" customHeight="false" outlineLevel="0" collapsed="false">
      <c r="A17" s="11"/>
      <c r="B17" s="12"/>
      <c r="C17" s="13" t="str">
        <f aca="false">IF($A17="","",IFERROR(INDEX(Maestro!$C:$C,MATCH($A17,Maestro!$A:$A,0)),"Código no existe"))</f>
        <v/>
      </c>
      <c r="D17" s="13" t="str">
        <f aca="false">IF($A17="","",IFERROR(INDEX(Maestro!$D:$D,MATCH($A17,Maestro!$A:$A,0))&amp;"",""))</f>
        <v/>
      </c>
      <c r="E17" s="13" t="str">
        <f aca="false">IF($A17="","",IFERROR(IF(INDEX(Maestro!$I:$I,MATCH($A17,Maestro!$A:$A,0))="Peso","Por libra",TRIM(INDEX(Maestro!$E:$E,MATCH($A17,Maestro!$A:$A,0))&amp;" "&amp;INDEX(Maestro!$F:$F,MATCH($A17,Maestro!$A:$A,0))&amp;" "&amp;INDEX(Maestro!$G:$G,MATCH($A17,Maestro!$A:$A,0)))),""))</f>
        <v/>
      </c>
      <c r="F17" s="13" t="str">
        <f aca="false">IF($A17="","",IFERROR(INDEX(Maestro!$H:$H,MATCH($A17,Maestro!$A:$A,0))&amp;"",""))</f>
        <v/>
      </c>
      <c r="G17" s="13" t="str">
        <f aca="false">IF($A17="","",IFERROR(INDEX(Maestro!$I:$I,MATCH($A17,Maestro!$A:$A,0))&amp;"",""))</f>
        <v/>
      </c>
      <c r="H17" s="14"/>
      <c r="I17" s="11"/>
    </row>
    <row r="18" customFormat="false" ht="15" hidden="false" customHeight="false" outlineLevel="0" collapsed="false">
      <c r="A18" s="11"/>
      <c r="B18" s="12"/>
      <c r="C18" s="13" t="str">
        <f aca="false">IF($A18="","",IFERROR(INDEX(Maestro!$C:$C,MATCH($A18,Maestro!$A:$A,0)),"Código no existe"))</f>
        <v/>
      </c>
      <c r="D18" s="13" t="str">
        <f aca="false">IF($A18="","",IFERROR(INDEX(Maestro!$D:$D,MATCH($A18,Maestro!$A:$A,0))&amp;"",""))</f>
        <v/>
      </c>
      <c r="E18" s="13" t="str">
        <f aca="false">IF($A18="","",IFERROR(IF(INDEX(Maestro!$I:$I,MATCH($A18,Maestro!$A:$A,0))="Peso","Por libra",TRIM(INDEX(Maestro!$E:$E,MATCH($A18,Maestro!$A:$A,0))&amp;" "&amp;INDEX(Maestro!$F:$F,MATCH($A18,Maestro!$A:$A,0))&amp;" "&amp;INDEX(Maestro!$G:$G,MATCH($A18,Maestro!$A:$A,0)))),""))</f>
        <v/>
      </c>
      <c r="F18" s="13" t="str">
        <f aca="false">IF($A18="","",IFERROR(INDEX(Maestro!$H:$H,MATCH($A18,Maestro!$A:$A,0))&amp;"",""))</f>
        <v/>
      </c>
      <c r="G18" s="13" t="str">
        <f aca="false">IF($A18="","",IFERROR(INDEX(Maestro!$I:$I,MATCH($A18,Maestro!$A:$A,0))&amp;"",""))</f>
        <v/>
      </c>
      <c r="H18" s="14"/>
      <c r="I18" s="11"/>
    </row>
    <row r="19" customFormat="false" ht="15" hidden="false" customHeight="false" outlineLevel="0" collapsed="false">
      <c r="A19" s="11"/>
      <c r="B19" s="12"/>
      <c r="C19" s="13" t="str">
        <f aca="false">IF($A19="","",IFERROR(INDEX(Maestro!$C:$C,MATCH($A19,Maestro!$A:$A,0)),"Código no existe"))</f>
        <v/>
      </c>
      <c r="D19" s="13" t="str">
        <f aca="false">IF($A19="","",IFERROR(INDEX(Maestro!$D:$D,MATCH($A19,Maestro!$A:$A,0))&amp;"",""))</f>
        <v/>
      </c>
      <c r="E19" s="13" t="str">
        <f aca="false">IF($A19="","",IFERROR(IF(INDEX(Maestro!$I:$I,MATCH($A19,Maestro!$A:$A,0))="Peso","Por libra",TRIM(INDEX(Maestro!$E:$E,MATCH($A19,Maestro!$A:$A,0))&amp;" "&amp;INDEX(Maestro!$F:$F,MATCH($A19,Maestro!$A:$A,0))&amp;" "&amp;INDEX(Maestro!$G:$G,MATCH($A19,Maestro!$A:$A,0)))),""))</f>
        <v/>
      </c>
      <c r="F19" s="13" t="str">
        <f aca="false">IF($A19="","",IFERROR(INDEX(Maestro!$H:$H,MATCH($A19,Maestro!$A:$A,0))&amp;"",""))</f>
        <v/>
      </c>
      <c r="G19" s="13" t="str">
        <f aca="false">IF($A19="","",IFERROR(INDEX(Maestro!$I:$I,MATCH($A19,Maestro!$A:$A,0))&amp;"",""))</f>
        <v/>
      </c>
      <c r="H19" s="14"/>
      <c r="I19" s="11"/>
    </row>
    <row r="20" customFormat="false" ht="15" hidden="false" customHeight="false" outlineLevel="0" collapsed="false">
      <c r="A20" s="11"/>
      <c r="B20" s="12"/>
      <c r="C20" s="13" t="str">
        <f aca="false">IF($A20="","",IFERROR(INDEX(Maestro!$C:$C,MATCH($A20,Maestro!$A:$A,0)),"Código no existe"))</f>
        <v/>
      </c>
      <c r="D20" s="13" t="str">
        <f aca="false">IF($A20="","",IFERROR(INDEX(Maestro!$D:$D,MATCH($A20,Maestro!$A:$A,0))&amp;"",""))</f>
        <v/>
      </c>
      <c r="E20" s="13" t="str">
        <f aca="false">IF($A20="","",IFERROR(IF(INDEX(Maestro!$I:$I,MATCH($A20,Maestro!$A:$A,0))="Peso","Por libra",TRIM(INDEX(Maestro!$E:$E,MATCH($A20,Maestro!$A:$A,0))&amp;" "&amp;INDEX(Maestro!$F:$F,MATCH($A20,Maestro!$A:$A,0))&amp;" "&amp;INDEX(Maestro!$G:$G,MATCH($A20,Maestro!$A:$A,0)))),""))</f>
        <v/>
      </c>
      <c r="F20" s="13" t="str">
        <f aca="false">IF($A20="","",IFERROR(INDEX(Maestro!$H:$H,MATCH($A20,Maestro!$A:$A,0))&amp;"",""))</f>
        <v/>
      </c>
      <c r="G20" s="13" t="str">
        <f aca="false">IF($A20="","",IFERROR(INDEX(Maestro!$I:$I,MATCH($A20,Maestro!$A:$A,0))&amp;"",""))</f>
        <v/>
      </c>
      <c r="H20" s="14"/>
      <c r="I20" s="11"/>
    </row>
    <row r="21" customFormat="false" ht="15" hidden="false" customHeight="false" outlineLevel="0" collapsed="false">
      <c r="A21" s="11"/>
      <c r="B21" s="12"/>
      <c r="C21" s="13" t="str">
        <f aca="false">IF($A21="","",IFERROR(INDEX(Maestro!$C:$C,MATCH($A21,Maestro!$A:$A,0)),"Código no existe"))</f>
        <v/>
      </c>
      <c r="D21" s="13" t="str">
        <f aca="false">IF($A21="","",IFERROR(INDEX(Maestro!$D:$D,MATCH($A21,Maestro!$A:$A,0))&amp;"",""))</f>
        <v/>
      </c>
      <c r="E21" s="13" t="str">
        <f aca="false">IF($A21="","",IFERROR(IF(INDEX(Maestro!$I:$I,MATCH($A21,Maestro!$A:$A,0))="Peso","Por libra",TRIM(INDEX(Maestro!$E:$E,MATCH($A21,Maestro!$A:$A,0))&amp;" "&amp;INDEX(Maestro!$F:$F,MATCH($A21,Maestro!$A:$A,0))&amp;" "&amp;INDEX(Maestro!$G:$G,MATCH($A21,Maestro!$A:$A,0)))),""))</f>
        <v/>
      </c>
      <c r="F21" s="13" t="str">
        <f aca="false">IF($A21="","",IFERROR(INDEX(Maestro!$H:$H,MATCH($A21,Maestro!$A:$A,0))&amp;"",""))</f>
        <v/>
      </c>
      <c r="G21" s="13" t="str">
        <f aca="false">IF($A21="","",IFERROR(INDEX(Maestro!$I:$I,MATCH($A21,Maestro!$A:$A,0))&amp;"",""))</f>
        <v/>
      </c>
      <c r="H21" s="14"/>
      <c r="I21" s="11"/>
    </row>
    <row r="22" customFormat="false" ht="15" hidden="false" customHeight="false" outlineLevel="0" collapsed="false">
      <c r="A22" s="11"/>
      <c r="B22" s="12"/>
      <c r="C22" s="13" t="str">
        <f aca="false">IF($A22="","",IFERROR(INDEX(Maestro!$C:$C,MATCH($A22,Maestro!$A:$A,0)),"Código no existe"))</f>
        <v/>
      </c>
      <c r="D22" s="13" t="str">
        <f aca="false">IF($A22="","",IFERROR(INDEX(Maestro!$D:$D,MATCH($A22,Maestro!$A:$A,0))&amp;"",""))</f>
        <v/>
      </c>
      <c r="E22" s="13" t="str">
        <f aca="false">IF($A22="","",IFERROR(IF(INDEX(Maestro!$I:$I,MATCH($A22,Maestro!$A:$A,0))="Peso","Por libra",TRIM(INDEX(Maestro!$E:$E,MATCH($A22,Maestro!$A:$A,0))&amp;" "&amp;INDEX(Maestro!$F:$F,MATCH($A22,Maestro!$A:$A,0))&amp;" "&amp;INDEX(Maestro!$G:$G,MATCH($A22,Maestro!$A:$A,0)))),""))</f>
        <v/>
      </c>
      <c r="F22" s="13" t="str">
        <f aca="false">IF($A22="","",IFERROR(INDEX(Maestro!$H:$H,MATCH($A22,Maestro!$A:$A,0))&amp;"",""))</f>
        <v/>
      </c>
      <c r="G22" s="13" t="str">
        <f aca="false">IF($A22="","",IFERROR(INDEX(Maestro!$I:$I,MATCH($A22,Maestro!$A:$A,0))&amp;"",""))</f>
        <v/>
      </c>
      <c r="H22" s="14"/>
      <c r="I22" s="11"/>
    </row>
    <row r="23" customFormat="false" ht="15" hidden="false" customHeight="false" outlineLevel="0" collapsed="false">
      <c r="A23" s="11"/>
      <c r="B23" s="12"/>
      <c r="C23" s="13" t="str">
        <f aca="false">IF($A23="","",IFERROR(INDEX(Maestro!$C:$C,MATCH($A23,Maestro!$A:$A,0)),"Código no existe"))</f>
        <v/>
      </c>
      <c r="D23" s="13" t="str">
        <f aca="false">IF($A23="","",IFERROR(INDEX(Maestro!$D:$D,MATCH($A23,Maestro!$A:$A,0))&amp;"",""))</f>
        <v/>
      </c>
      <c r="E23" s="13" t="str">
        <f aca="false">IF($A23="","",IFERROR(IF(INDEX(Maestro!$I:$I,MATCH($A23,Maestro!$A:$A,0))="Peso","Por libra",TRIM(INDEX(Maestro!$E:$E,MATCH($A23,Maestro!$A:$A,0))&amp;" "&amp;INDEX(Maestro!$F:$F,MATCH($A23,Maestro!$A:$A,0))&amp;" "&amp;INDEX(Maestro!$G:$G,MATCH($A23,Maestro!$A:$A,0)))),""))</f>
        <v/>
      </c>
      <c r="F23" s="13" t="str">
        <f aca="false">IF($A23="","",IFERROR(INDEX(Maestro!$H:$H,MATCH($A23,Maestro!$A:$A,0))&amp;"",""))</f>
        <v/>
      </c>
      <c r="G23" s="13" t="str">
        <f aca="false">IF($A23="","",IFERROR(INDEX(Maestro!$I:$I,MATCH($A23,Maestro!$A:$A,0))&amp;"",""))</f>
        <v/>
      </c>
      <c r="H23" s="14"/>
      <c r="I23" s="11"/>
    </row>
    <row r="24" customFormat="false" ht="15" hidden="false" customHeight="false" outlineLevel="0" collapsed="false">
      <c r="A24" s="11"/>
      <c r="B24" s="12"/>
      <c r="C24" s="13" t="str">
        <f aca="false">IF($A24="","",IFERROR(INDEX(Maestro!$C:$C,MATCH($A24,Maestro!$A:$A,0)),"Código no existe"))</f>
        <v/>
      </c>
      <c r="D24" s="13" t="str">
        <f aca="false">IF($A24="","",IFERROR(INDEX(Maestro!$D:$D,MATCH($A24,Maestro!$A:$A,0))&amp;"",""))</f>
        <v/>
      </c>
      <c r="E24" s="13" t="str">
        <f aca="false">IF($A24="","",IFERROR(IF(INDEX(Maestro!$I:$I,MATCH($A24,Maestro!$A:$A,0))="Peso","Por libra",TRIM(INDEX(Maestro!$E:$E,MATCH($A24,Maestro!$A:$A,0))&amp;" "&amp;INDEX(Maestro!$F:$F,MATCH($A24,Maestro!$A:$A,0))&amp;" "&amp;INDEX(Maestro!$G:$G,MATCH($A24,Maestro!$A:$A,0)))),""))</f>
        <v/>
      </c>
      <c r="F24" s="13" t="str">
        <f aca="false">IF($A24="","",IFERROR(INDEX(Maestro!$H:$H,MATCH($A24,Maestro!$A:$A,0))&amp;"",""))</f>
        <v/>
      </c>
      <c r="G24" s="13" t="str">
        <f aca="false">IF($A24="","",IFERROR(INDEX(Maestro!$I:$I,MATCH($A24,Maestro!$A:$A,0))&amp;"",""))</f>
        <v/>
      </c>
      <c r="H24" s="14"/>
      <c r="I24" s="11"/>
    </row>
    <row r="25" customFormat="false" ht="15" hidden="false" customHeight="false" outlineLevel="0" collapsed="false">
      <c r="A25" s="11"/>
      <c r="B25" s="12"/>
      <c r="C25" s="13" t="str">
        <f aca="false">IF($A25="","",IFERROR(INDEX(Maestro!$C:$C,MATCH($A25,Maestro!$A:$A,0)),"Código no existe"))</f>
        <v/>
      </c>
      <c r="D25" s="13" t="str">
        <f aca="false">IF($A25="","",IFERROR(INDEX(Maestro!$D:$D,MATCH($A25,Maestro!$A:$A,0))&amp;"",""))</f>
        <v/>
      </c>
      <c r="E25" s="13" t="str">
        <f aca="false">IF($A25="","",IFERROR(IF(INDEX(Maestro!$I:$I,MATCH($A25,Maestro!$A:$A,0))="Peso","Por libra",TRIM(INDEX(Maestro!$E:$E,MATCH($A25,Maestro!$A:$A,0))&amp;" "&amp;INDEX(Maestro!$F:$F,MATCH($A25,Maestro!$A:$A,0))&amp;" "&amp;INDEX(Maestro!$G:$G,MATCH($A25,Maestro!$A:$A,0)))),""))</f>
        <v/>
      </c>
      <c r="F25" s="13" t="str">
        <f aca="false">IF($A25="","",IFERROR(INDEX(Maestro!$H:$H,MATCH($A25,Maestro!$A:$A,0))&amp;"",""))</f>
        <v/>
      </c>
      <c r="G25" s="13" t="str">
        <f aca="false">IF($A25="","",IFERROR(INDEX(Maestro!$I:$I,MATCH($A25,Maestro!$A:$A,0))&amp;"",""))</f>
        <v/>
      </c>
      <c r="H25" s="14"/>
      <c r="I25" s="11"/>
    </row>
    <row r="26" customFormat="false" ht="15" hidden="false" customHeight="false" outlineLevel="0" collapsed="false">
      <c r="A26" s="11"/>
      <c r="B26" s="12"/>
      <c r="C26" s="13" t="str">
        <f aca="false">IF($A26="","",IFERROR(INDEX(Maestro!$C:$C,MATCH($A26,Maestro!$A:$A,0)),"Código no existe"))</f>
        <v/>
      </c>
      <c r="D26" s="13" t="str">
        <f aca="false">IF($A26="","",IFERROR(INDEX(Maestro!$D:$D,MATCH($A26,Maestro!$A:$A,0))&amp;"",""))</f>
        <v/>
      </c>
      <c r="E26" s="13" t="str">
        <f aca="false">IF($A26="","",IFERROR(IF(INDEX(Maestro!$I:$I,MATCH($A26,Maestro!$A:$A,0))="Peso","Por libra",TRIM(INDEX(Maestro!$E:$E,MATCH($A26,Maestro!$A:$A,0))&amp;" "&amp;INDEX(Maestro!$F:$F,MATCH($A26,Maestro!$A:$A,0))&amp;" "&amp;INDEX(Maestro!$G:$G,MATCH($A26,Maestro!$A:$A,0)))),""))</f>
        <v/>
      </c>
      <c r="F26" s="13" t="str">
        <f aca="false">IF($A26="","",IFERROR(INDEX(Maestro!$H:$H,MATCH($A26,Maestro!$A:$A,0))&amp;"",""))</f>
        <v/>
      </c>
      <c r="G26" s="13" t="str">
        <f aca="false">IF($A26="","",IFERROR(INDEX(Maestro!$I:$I,MATCH($A26,Maestro!$A:$A,0))&amp;"",""))</f>
        <v/>
      </c>
      <c r="H26" s="14"/>
      <c r="I26" s="11"/>
    </row>
    <row r="27" customFormat="false" ht="15" hidden="false" customHeight="false" outlineLevel="0" collapsed="false">
      <c r="A27" s="11"/>
      <c r="B27" s="12"/>
      <c r="C27" s="13" t="str">
        <f aca="false">IF($A27="","",IFERROR(INDEX(Maestro!$C:$C,MATCH($A27,Maestro!$A:$A,0)),"Código no existe"))</f>
        <v/>
      </c>
      <c r="D27" s="13" t="str">
        <f aca="false">IF($A27="","",IFERROR(INDEX(Maestro!$D:$D,MATCH($A27,Maestro!$A:$A,0))&amp;"",""))</f>
        <v/>
      </c>
      <c r="E27" s="13" t="str">
        <f aca="false">IF($A27="","",IFERROR(IF(INDEX(Maestro!$I:$I,MATCH($A27,Maestro!$A:$A,0))="Peso","Por libra",TRIM(INDEX(Maestro!$E:$E,MATCH($A27,Maestro!$A:$A,0))&amp;" "&amp;INDEX(Maestro!$F:$F,MATCH($A27,Maestro!$A:$A,0))&amp;" "&amp;INDEX(Maestro!$G:$G,MATCH($A27,Maestro!$A:$A,0)))),""))</f>
        <v/>
      </c>
      <c r="F27" s="13" t="str">
        <f aca="false">IF($A27="","",IFERROR(INDEX(Maestro!$H:$H,MATCH($A27,Maestro!$A:$A,0))&amp;"",""))</f>
        <v/>
      </c>
      <c r="G27" s="13" t="str">
        <f aca="false">IF($A27="","",IFERROR(INDEX(Maestro!$I:$I,MATCH($A27,Maestro!$A:$A,0))&amp;"",""))</f>
        <v/>
      </c>
      <c r="H27" s="14"/>
      <c r="I27" s="11"/>
    </row>
    <row r="28" customFormat="false" ht="15" hidden="false" customHeight="false" outlineLevel="0" collapsed="false">
      <c r="A28" s="11"/>
      <c r="B28" s="12"/>
      <c r="C28" s="13" t="str">
        <f aca="false">IF($A28="","",IFERROR(INDEX(Maestro!$C:$C,MATCH($A28,Maestro!$A:$A,0)),"Código no existe"))</f>
        <v/>
      </c>
      <c r="D28" s="13" t="str">
        <f aca="false">IF($A28="","",IFERROR(INDEX(Maestro!$D:$D,MATCH($A28,Maestro!$A:$A,0))&amp;"",""))</f>
        <v/>
      </c>
      <c r="E28" s="13" t="str">
        <f aca="false">IF($A28="","",IFERROR(IF(INDEX(Maestro!$I:$I,MATCH($A28,Maestro!$A:$A,0))="Peso","Por libra",TRIM(INDEX(Maestro!$E:$E,MATCH($A28,Maestro!$A:$A,0))&amp;" "&amp;INDEX(Maestro!$F:$F,MATCH($A28,Maestro!$A:$A,0))&amp;" "&amp;INDEX(Maestro!$G:$G,MATCH($A28,Maestro!$A:$A,0)))),""))</f>
        <v/>
      </c>
      <c r="F28" s="13" t="str">
        <f aca="false">IF($A28="","",IFERROR(INDEX(Maestro!$H:$H,MATCH($A28,Maestro!$A:$A,0))&amp;"",""))</f>
        <v/>
      </c>
      <c r="G28" s="13" t="str">
        <f aca="false">IF($A28="","",IFERROR(INDEX(Maestro!$I:$I,MATCH($A28,Maestro!$A:$A,0))&amp;"",""))</f>
        <v/>
      </c>
      <c r="H28" s="14"/>
      <c r="I28" s="11"/>
    </row>
    <row r="29" customFormat="false" ht="15" hidden="false" customHeight="false" outlineLevel="0" collapsed="false">
      <c r="A29" s="11"/>
      <c r="B29" s="12"/>
      <c r="C29" s="13" t="str">
        <f aca="false">IF($A29="","",IFERROR(INDEX(Maestro!$C:$C,MATCH($A29,Maestro!$A:$A,0)),"Código no existe"))</f>
        <v/>
      </c>
      <c r="D29" s="13" t="str">
        <f aca="false">IF($A29="","",IFERROR(INDEX(Maestro!$D:$D,MATCH($A29,Maestro!$A:$A,0))&amp;"",""))</f>
        <v/>
      </c>
      <c r="E29" s="13" t="str">
        <f aca="false">IF($A29="","",IFERROR(IF(INDEX(Maestro!$I:$I,MATCH($A29,Maestro!$A:$A,0))="Peso","Por libra",TRIM(INDEX(Maestro!$E:$E,MATCH($A29,Maestro!$A:$A,0))&amp;" "&amp;INDEX(Maestro!$F:$F,MATCH($A29,Maestro!$A:$A,0))&amp;" "&amp;INDEX(Maestro!$G:$G,MATCH($A29,Maestro!$A:$A,0)))),""))</f>
        <v/>
      </c>
      <c r="F29" s="13" t="str">
        <f aca="false">IF($A29="","",IFERROR(INDEX(Maestro!$H:$H,MATCH($A29,Maestro!$A:$A,0))&amp;"",""))</f>
        <v/>
      </c>
      <c r="G29" s="13" t="str">
        <f aca="false">IF($A29="","",IFERROR(INDEX(Maestro!$I:$I,MATCH($A29,Maestro!$A:$A,0))&amp;"",""))</f>
        <v/>
      </c>
      <c r="H29" s="14"/>
      <c r="I29" s="11"/>
    </row>
    <row r="30" customFormat="false" ht="15" hidden="false" customHeight="false" outlineLevel="0" collapsed="false">
      <c r="A30" s="11"/>
      <c r="B30" s="12"/>
      <c r="C30" s="13" t="str">
        <f aca="false">IF($A30="","",IFERROR(INDEX(Maestro!$C:$C,MATCH($A30,Maestro!$A:$A,0)),"Código no existe"))</f>
        <v/>
      </c>
      <c r="D30" s="13" t="str">
        <f aca="false">IF($A30="","",IFERROR(INDEX(Maestro!$D:$D,MATCH($A30,Maestro!$A:$A,0))&amp;"",""))</f>
        <v/>
      </c>
      <c r="E30" s="13" t="str">
        <f aca="false">IF($A30="","",IFERROR(IF(INDEX(Maestro!$I:$I,MATCH($A30,Maestro!$A:$A,0))="Peso","Por libra",TRIM(INDEX(Maestro!$E:$E,MATCH($A30,Maestro!$A:$A,0))&amp;" "&amp;INDEX(Maestro!$F:$F,MATCH($A30,Maestro!$A:$A,0))&amp;" "&amp;INDEX(Maestro!$G:$G,MATCH($A30,Maestro!$A:$A,0)))),""))</f>
        <v/>
      </c>
      <c r="F30" s="13" t="str">
        <f aca="false">IF($A30="","",IFERROR(INDEX(Maestro!$H:$H,MATCH($A30,Maestro!$A:$A,0))&amp;"",""))</f>
        <v/>
      </c>
      <c r="G30" s="13" t="str">
        <f aca="false">IF($A30="","",IFERROR(INDEX(Maestro!$I:$I,MATCH($A30,Maestro!$A:$A,0))&amp;"",""))</f>
        <v/>
      </c>
      <c r="H30" s="14"/>
      <c r="I30" s="11"/>
    </row>
    <row r="31" customFormat="false" ht="15" hidden="false" customHeight="false" outlineLevel="0" collapsed="false">
      <c r="A31" s="11"/>
      <c r="B31" s="12"/>
      <c r="C31" s="13" t="str">
        <f aca="false">IF($A31="","",IFERROR(INDEX(Maestro!$C:$C,MATCH($A31,Maestro!$A:$A,0)),"Código no existe"))</f>
        <v/>
      </c>
      <c r="D31" s="13" t="str">
        <f aca="false">IF($A31="","",IFERROR(INDEX(Maestro!$D:$D,MATCH($A31,Maestro!$A:$A,0))&amp;"",""))</f>
        <v/>
      </c>
      <c r="E31" s="13" t="str">
        <f aca="false">IF($A31="","",IFERROR(IF(INDEX(Maestro!$I:$I,MATCH($A31,Maestro!$A:$A,0))="Peso","Por libra",TRIM(INDEX(Maestro!$E:$E,MATCH($A31,Maestro!$A:$A,0))&amp;" "&amp;INDEX(Maestro!$F:$F,MATCH($A31,Maestro!$A:$A,0))&amp;" "&amp;INDEX(Maestro!$G:$G,MATCH($A31,Maestro!$A:$A,0)))),""))</f>
        <v/>
      </c>
      <c r="F31" s="13" t="str">
        <f aca="false">IF($A31="","",IFERROR(INDEX(Maestro!$H:$H,MATCH($A31,Maestro!$A:$A,0))&amp;"",""))</f>
        <v/>
      </c>
      <c r="G31" s="13" t="str">
        <f aca="false">IF($A31="","",IFERROR(INDEX(Maestro!$I:$I,MATCH($A31,Maestro!$A:$A,0))&amp;"",""))</f>
        <v/>
      </c>
      <c r="H31" s="14"/>
      <c r="I31" s="11"/>
    </row>
    <row r="32" customFormat="false" ht="15" hidden="false" customHeight="false" outlineLevel="0" collapsed="false">
      <c r="A32" s="11"/>
      <c r="B32" s="12"/>
      <c r="C32" s="13" t="str">
        <f aca="false">IF($A32="","",IFERROR(INDEX(Maestro!$C:$C,MATCH($A32,Maestro!$A:$A,0)),"Código no existe"))</f>
        <v/>
      </c>
      <c r="D32" s="13" t="str">
        <f aca="false">IF($A32="","",IFERROR(INDEX(Maestro!$D:$D,MATCH($A32,Maestro!$A:$A,0))&amp;"",""))</f>
        <v/>
      </c>
      <c r="E32" s="13" t="str">
        <f aca="false">IF($A32="","",IFERROR(IF(INDEX(Maestro!$I:$I,MATCH($A32,Maestro!$A:$A,0))="Peso","Por libra",TRIM(INDEX(Maestro!$E:$E,MATCH($A32,Maestro!$A:$A,0))&amp;" "&amp;INDEX(Maestro!$F:$F,MATCH($A32,Maestro!$A:$A,0))&amp;" "&amp;INDEX(Maestro!$G:$G,MATCH($A32,Maestro!$A:$A,0)))),""))</f>
        <v/>
      </c>
      <c r="F32" s="13" t="str">
        <f aca="false">IF($A32="","",IFERROR(INDEX(Maestro!$H:$H,MATCH($A32,Maestro!$A:$A,0))&amp;"",""))</f>
        <v/>
      </c>
      <c r="G32" s="13" t="str">
        <f aca="false">IF($A32="","",IFERROR(INDEX(Maestro!$I:$I,MATCH($A32,Maestro!$A:$A,0))&amp;"",""))</f>
        <v/>
      </c>
      <c r="H32" s="14"/>
      <c r="I32" s="11"/>
    </row>
    <row r="33" customFormat="false" ht="15" hidden="false" customHeight="false" outlineLevel="0" collapsed="false">
      <c r="A33" s="11"/>
      <c r="B33" s="12"/>
      <c r="C33" s="13" t="str">
        <f aca="false">IF($A33="","",IFERROR(INDEX(Maestro!$C:$C,MATCH($A33,Maestro!$A:$A,0)),"Código no existe"))</f>
        <v/>
      </c>
      <c r="D33" s="13" t="str">
        <f aca="false">IF($A33="","",IFERROR(INDEX(Maestro!$D:$D,MATCH($A33,Maestro!$A:$A,0))&amp;"",""))</f>
        <v/>
      </c>
      <c r="E33" s="13" t="str">
        <f aca="false">IF($A33="","",IFERROR(IF(INDEX(Maestro!$I:$I,MATCH($A33,Maestro!$A:$A,0))="Peso","Por libra",TRIM(INDEX(Maestro!$E:$E,MATCH($A33,Maestro!$A:$A,0))&amp;" "&amp;INDEX(Maestro!$F:$F,MATCH($A33,Maestro!$A:$A,0))&amp;" "&amp;INDEX(Maestro!$G:$G,MATCH($A33,Maestro!$A:$A,0)))),""))</f>
        <v/>
      </c>
      <c r="F33" s="13" t="str">
        <f aca="false">IF($A33="","",IFERROR(INDEX(Maestro!$H:$H,MATCH($A33,Maestro!$A:$A,0))&amp;"",""))</f>
        <v/>
      </c>
      <c r="G33" s="13" t="str">
        <f aca="false">IF($A33="","",IFERROR(INDEX(Maestro!$I:$I,MATCH($A33,Maestro!$A:$A,0))&amp;"",""))</f>
        <v/>
      </c>
      <c r="H33" s="14"/>
      <c r="I33" s="11"/>
    </row>
    <row r="34" customFormat="false" ht="15" hidden="false" customHeight="false" outlineLevel="0" collapsed="false">
      <c r="A34" s="11"/>
      <c r="B34" s="12"/>
      <c r="C34" s="13" t="str">
        <f aca="false">IF($A34="","",IFERROR(INDEX(Maestro!$C:$C,MATCH($A34,Maestro!$A:$A,0)),"Código no existe"))</f>
        <v/>
      </c>
      <c r="D34" s="13" t="str">
        <f aca="false">IF($A34="","",IFERROR(INDEX(Maestro!$D:$D,MATCH($A34,Maestro!$A:$A,0))&amp;"",""))</f>
        <v/>
      </c>
      <c r="E34" s="13" t="str">
        <f aca="false">IF($A34="","",IFERROR(IF(INDEX(Maestro!$I:$I,MATCH($A34,Maestro!$A:$A,0))="Peso","Por libra",TRIM(INDEX(Maestro!$E:$E,MATCH($A34,Maestro!$A:$A,0))&amp;" "&amp;INDEX(Maestro!$F:$F,MATCH($A34,Maestro!$A:$A,0))&amp;" "&amp;INDEX(Maestro!$G:$G,MATCH($A34,Maestro!$A:$A,0)))),""))</f>
        <v/>
      </c>
      <c r="F34" s="13" t="str">
        <f aca="false">IF($A34="","",IFERROR(INDEX(Maestro!$H:$H,MATCH($A34,Maestro!$A:$A,0))&amp;"",""))</f>
        <v/>
      </c>
      <c r="G34" s="13" t="str">
        <f aca="false">IF($A34="","",IFERROR(INDEX(Maestro!$I:$I,MATCH($A34,Maestro!$A:$A,0))&amp;"",""))</f>
        <v/>
      </c>
      <c r="H34" s="14"/>
      <c r="I34" s="11"/>
    </row>
    <row r="35" customFormat="false" ht="15" hidden="false" customHeight="false" outlineLevel="0" collapsed="false">
      <c r="A35" s="11"/>
      <c r="B35" s="12"/>
      <c r="C35" s="13" t="str">
        <f aca="false">IF($A35="","",IFERROR(INDEX(Maestro!$C:$C,MATCH($A35,Maestro!$A:$A,0)),"Código no existe"))</f>
        <v/>
      </c>
      <c r="D35" s="13" t="str">
        <f aca="false">IF($A35="","",IFERROR(INDEX(Maestro!$D:$D,MATCH($A35,Maestro!$A:$A,0))&amp;"",""))</f>
        <v/>
      </c>
      <c r="E35" s="13" t="str">
        <f aca="false">IF($A35="","",IFERROR(IF(INDEX(Maestro!$I:$I,MATCH($A35,Maestro!$A:$A,0))="Peso","Por libra",TRIM(INDEX(Maestro!$E:$E,MATCH($A35,Maestro!$A:$A,0))&amp;" "&amp;INDEX(Maestro!$F:$F,MATCH($A35,Maestro!$A:$A,0))&amp;" "&amp;INDEX(Maestro!$G:$G,MATCH($A35,Maestro!$A:$A,0)))),""))</f>
        <v/>
      </c>
      <c r="F35" s="13" t="str">
        <f aca="false">IF($A35="","",IFERROR(INDEX(Maestro!$H:$H,MATCH($A35,Maestro!$A:$A,0))&amp;"",""))</f>
        <v/>
      </c>
      <c r="G35" s="13" t="str">
        <f aca="false">IF($A35="","",IFERROR(INDEX(Maestro!$I:$I,MATCH($A35,Maestro!$A:$A,0))&amp;"",""))</f>
        <v/>
      </c>
      <c r="H35" s="14"/>
      <c r="I35" s="11"/>
    </row>
    <row r="36" customFormat="false" ht="15" hidden="false" customHeight="false" outlineLevel="0" collapsed="false">
      <c r="A36" s="11"/>
      <c r="B36" s="12"/>
      <c r="C36" s="13" t="str">
        <f aca="false">IF($A36="","",IFERROR(INDEX(Maestro!$C:$C,MATCH($A36,Maestro!$A:$A,0)),"Código no existe"))</f>
        <v/>
      </c>
      <c r="D36" s="13" t="str">
        <f aca="false">IF($A36="","",IFERROR(INDEX(Maestro!$D:$D,MATCH($A36,Maestro!$A:$A,0))&amp;"",""))</f>
        <v/>
      </c>
      <c r="E36" s="13" t="str">
        <f aca="false">IF($A36="","",IFERROR(IF(INDEX(Maestro!$I:$I,MATCH($A36,Maestro!$A:$A,0))="Peso","Por libra",TRIM(INDEX(Maestro!$E:$E,MATCH($A36,Maestro!$A:$A,0))&amp;" "&amp;INDEX(Maestro!$F:$F,MATCH($A36,Maestro!$A:$A,0))&amp;" "&amp;INDEX(Maestro!$G:$G,MATCH($A36,Maestro!$A:$A,0)))),""))</f>
        <v/>
      </c>
      <c r="F36" s="13" t="str">
        <f aca="false">IF($A36="","",IFERROR(INDEX(Maestro!$H:$H,MATCH($A36,Maestro!$A:$A,0))&amp;"",""))</f>
        <v/>
      </c>
      <c r="G36" s="13" t="str">
        <f aca="false">IF($A36="","",IFERROR(INDEX(Maestro!$I:$I,MATCH($A36,Maestro!$A:$A,0))&amp;"",""))</f>
        <v/>
      </c>
      <c r="H36" s="14"/>
      <c r="I36" s="11"/>
    </row>
    <row r="37" customFormat="false" ht="15" hidden="false" customHeight="false" outlineLevel="0" collapsed="false">
      <c r="A37" s="11"/>
      <c r="B37" s="12"/>
      <c r="C37" s="13" t="str">
        <f aca="false">IF($A37="","",IFERROR(INDEX(Maestro!$C:$C,MATCH($A37,Maestro!$A:$A,0)),"Código no existe"))</f>
        <v/>
      </c>
      <c r="D37" s="13" t="str">
        <f aca="false">IF($A37="","",IFERROR(INDEX(Maestro!$D:$D,MATCH($A37,Maestro!$A:$A,0))&amp;"",""))</f>
        <v/>
      </c>
      <c r="E37" s="13" t="str">
        <f aca="false">IF($A37="","",IFERROR(IF(INDEX(Maestro!$I:$I,MATCH($A37,Maestro!$A:$A,0))="Peso","Por libra",TRIM(INDEX(Maestro!$E:$E,MATCH($A37,Maestro!$A:$A,0))&amp;" "&amp;INDEX(Maestro!$F:$F,MATCH($A37,Maestro!$A:$A,0))&amp;" "&amp;INDEX(Maestro!$G:$G,MATCH($A37,Maestro!$A:$A,0)))),""))</f>
        <v/>
      </c>
      <c r="F37" s="13" t="str">
        <f aca="false">IF($A37="","",IFERROR(INDEX(Maestro!$H:$H,MATCH($A37,Maestro!$A:$A,0))&amp;"",""))</f>
        <v/>
      </c>
      <c r="G37" s="13" t="str">
        <f aca="false">IF($A37="","",IFERROR(INDEX(Maestro!$I:$I,MATCH($A37,Maestro!$A:$A,0))&amp;"",""))</f>
        <v/>
      </c>
      <c r="H37" s="14"/>
      <c r="I37" s="11"/>
    </row>
    <row r="38" customFormat="false" ht="15" hidden="false" customHeight="false" outlineLevel="0" collapsed="false">
      <c r="A38" s="11"/>
      <c r="B38" s="12"/>
      <c r="C38" s="13" t="str">
        <f aca="false">IF($A38="","",IFERROR(INDEX(Maestro!$C:$C,MATCH($A38,Maestro!$A:$A,0)),"Código no existe"))</f>
        <v/>
      </c>
      <c r="D38" s="13" t="str">
        <f aca="false">IF($A38="","",IFERROR(INDEX(Maestro!$D:$D,MATCH($A38,Maestro!$A:$A,0))&amp;"",""))</f>
        <v/>
      </c>
      <c r="E38" s="13" t="str">
        <f aca="false">IF($A38="","",IFERROR(IF(INDEX(Maestro!$I:$I,MATCH($A38,Maestro!$A:$A,0))="Peso","Por libra",TRIM(INDEX(Maestro!$E:$E,MATCH($A38,Maestro!$A:$A,0))&amp;" "&amp;INDEX(Maestro!$F:$F,MATCH($A38,Maestro!$A:$A,0))&amp;" "&amp;INDEX(Maestro!$G:$G,MATCH($A38,Maestro!$A:$A,0)))),""))</f>
        <v/>
      </c>
      <c r="F38" s="13" t="str">
        <f aca="false">IF($A38="","",IFERROR(INDEX(Maestro!$H:$H,MATCH($A38,Maestro!$A:$A,0))&amp;"",""))</f>
        <v/>
      </c>
      <c r="G38" s="13" t="str">
        <f aca="false">IF($A38="","",IFERROR(INDEX(Maestro!$I:$I,MATCH($A38,Maestro!$A:$A,0))&amp;"",""))</f>
        <v/>
      </c>
      <c r="H38" s="14"/>
      <c r="I38" s="11"/>
    </row>
    <row r="39" customFormat="false" ht="15" hidden="false" customHeight="false" outlineLevel="0" collapsed="false">
      <c r="A39" s="11"/>
      <c r="B39" s="12"/>
      <c r="C39" s="13" t="str">
        <f aca="false">IF($A39="","",IFERROR(INDEX(Maestro!$C:$C,MATCH($A39,Maestro!$A:$A,0)),"Código no existe"))</f>
        <v/>
      </c>
      <c r="D39" s="13" t="str">
        <f aca="false">IF($A39="","",IFERROR(INDEX(Maestro!$D:$D,MATCH($A39,Maestro!$A:$A,0))&amp;"",""))</f>
        <v/>
      </c>
      <c r="E39" s="13" t="str">
        <f aca="false">IF($A39="","",IFERROR(IF(INDEX(Maestro!$I:$I,MATCH($A39,Maestro!$A:$A,0))="Peso","Por libra",TRIM(INDEX(Maestro!$E:$E,MATCH($A39,Maestro!$A:$A,0))&amp;" "&amp;INDEX(Maestro!$F:$F,MATCH($A39,Maestro!$A:$A,0))&amp;" "&amp;INDEX(Maestro!$G:$G,MATCH($A39,Maestro!$A:$A,0)))),""))</f>
        <v/>
      </c>
      <c r="F39" s="13" t="str">
        <f aca="false">IF($A39="","",IFERROR(INDEX(Maestro!$H:$H,MATCH($A39,Maestro!$A:$A,0))&amp;"",""))</f>
        <v/>
      </c>
      <c r="G39" s="13" t="str">
        <f aca="false">IF($A39="","",IFERROR(INDEX(Maestro!$I:$I,MATCH($A39,Maestro!$A:$A,0))&amp;"",""))</f>
        <v/>
      </c>
      <c r="H39" s="14"/>
      <c r="I39" s="11"/>
    </row>
    <row r="40" customFormat="false" ht="15" hidden="false" customHeight="false" outlineLevel="0" collapsed="false">
      <c r="A40" s="11"/>
      <c r="B40" s="12"/>
      <c r="C40" s="13" t="str">
        <f aca="false">IF($A40="","",IFERROR(INDEX(Maestro!$C:$C,MATCH($A40,Maestro!$A:$A,0)),"Código no existe"))</f>
        <v/>
      </c>
      <c r="D40" s="13" t="str">
        <f aca="false">IF($A40="","",IFERROR(INDEX(Maestro!$D:$D,MATCH($A40,Maestro!$A:$A,0))&amp;"",""))</f>
        <v/>
      </c>
      <c r="E40" s="13" t="str">
        <f aca="false">IF($A40="","",IFERROR(IF(INDEX(Maestro!$I:$I,MATCH($A40,Maestro!$A:$A,0))="Peso","Por libra",TRIM(INDEX(Maestro!$E:$E,MATCH($A40,Maestro!$A:$A,0))&amp;" "&amp;INDEX(Maestro!$F:$F,MATCH($A40,Maestro!$A:$A,0))&amp;" "&amp;INDEX(Maestro!$G:$G,MATCH($A40,Maestro!$A:$A,0)))),""))</f>
        <v/>
      </c>
      <c r="F40" s="13" t="str">
        <f aca="false">IF($A40="","",IFERROR(INDEX(Maestro!$H:$H,MATCH($A40,Maestro!$A:$A,0))&amp;"",""))</f>
        <v/>
      </c>
      <c r="G40" s="13" t="str">
        <f aca="false">IF($A40="","",IFERROR(INDEX(Maestro!$I:$I,MATCH($A40,Maestro!$A:$A,0))&amp;"",""))</f>
        <v/>
      </c>
      <c r="H40" s="14"/>
      <c r="I40" s="11"/>
    </row>
    <row r="41" customFormat="false" ht="15" hidden="false" customHeight="false" outlineLevel="0" collapsed="false">
      <c r="A41" s="11"/>
      <c r="B41" s="12"/>
      <c r="C41" s="13" t="str">
        <f aca="false">IF($A41="","",IFERROR(INDEX(Maestro!$C:$C,MATCH($A41,Maestro!$A:$A,0)),"Código no existe"))</f>
        <v/>
      </c>
      <c r="D41" s="13" t="str">
        <f aca="false">IF($A41="","",IFERROR(INDEX(Maestro!$D:$D,MATCH($A41,Maestro!$A:$A,0))&amp;"",""))</f>
        <v/>
      </c>
      <c r="E41" s="13" t="str">
        <f aca="false">IF($A41="","",IFERROR(IF(INDEX(Maestro!$I:$I,MATCH($A41,Maestro!$A:$A,0))="Peso","Por libra",TRIM(INDEX(Maestro!$E:$E,MATCH($A41,Maestro!$A:$A,0))&amp;" "&amp;INDEX(Maestro!$F:$F,MATCH($A41,Maestro!$A:$A,0))&amp;" "&amp;INDEX(Maestro!$G:$G,MATCH($A41,Maestro!$A:$A,0)))),""))</f>
        <v/>
      </c>
      <c r="F41" s="13" t="str">
        <f aca="false">IF($A41="","",IFERROR(INDEX(Maestro!$H:$H,MATCH($A41,Maestro!$A:$A,0))&amp;"",""))</f>
        <v/>
      </c>
      <c r="G41" s="13" t="str">
        <f aca="false">IF($A41="","",IFERROR(INDEX(Maestro!$I:$I,MATCH($A41,Maestro!$A:$A,0))&amp;"",""))</f>
        <v/>
      </c>
      <c r="H41" s="14"/>
      <c r="I41" s="11"/>
    </row>
    <row r="42" customFormat="false" ht="15" hidden="false" customHeight="false" outlineLevel="0" collapsed="false">
      <c r="A42" s="11"/>
      <c r="B42" s="12"/>
      <c r="C42" s="13" t="str">
        <f aca="false">IF($A42="","",IFERROR(INDEX(Maestro!$C:$C,MATCH($A42,Maestro!$A:$A,0)),"Código no existe"))</f>
        <v/>
      </c>
      <c r="D42" s="13" t="str">
        <f aca="false">IF($A42="","",IFERROR(INDEX(Maestro!$D:$D,MATCH($A42,Maestro!$A:$A,0))&amp;"",""))</f>
        <v/>
      </c>
      <c r="E42" s="13" t="str">
        <f aca="false">IF($A42="","",IFERROR(IF(INDEX(Maestro!$I:$I,MATCH($A42,Maestro!$A:$A,0))="Peso","Por libra",TRIM(INDEX(Maestro!$E:$E,MATCH($A42,Maestro!$A:$A,0))&amp;" "&amp;INDEX(Maestro!$F:$F,MATCH($A42,Maestro!$A:$A,0))&amp;" "&amp;INDEX(Maestro!$G:$G,MATCH($A42,Maestro!$A:$A,0)))),""))</f>
        <v/>
      </c>
      <c r="F42" s="13" t="str">
        <f aca="false">IF($A42="","",IFERROR(INDEX(Maestro!$H:$H,MATCH($A42,Maestro!$A:$A,0))&amp;"",""))</f>
        <v/>
      </c>
      <c r="G42" s="13" t="str">
        <f aca="false">IF($A42="","",IFERROR(INDEX(Maestro!$I:$I,MATCH($A42,Maestro!$A:$A,0))&amp;"",""))</f>
        <v/>
      </c>
      <c r="H42" s="14"/>
      <c r="I42" s="11"/>
    </row>
    <row r="43" customFormat="false" ht="15" hidden="false" customHeight="false" outlineLevel="0" collapsed="false">
      <c r="A43" s="11"/>
      <c r="B43" s="12"/>
      <c r="C43" s="13" t="str">
        <f aca="false">IF($A43="","",IFERROR(INDEX(Maestro!$C:$C,MATCH($A43,Maestro!$A:$A,0)),"Código no existe"))</f>
        <v/>
      </c>
      <c r="D43" s="13" t="str">
        <f aca="false">IF($A43="","",IFERROR(INDEX(Maestro!$D:$D,MATCH($A43,Maestro!$A:$A,0))&amp;"",""))</f>
        <v/>
      </c>
      <c r="E43" s="13" t="str">
        <f aca="false">IF($A43="","",IFERROR(IF(INDEX(Maestro!$I:$I,MATCH($A43,Maestro!$A:$A,0))="Peso","Por libra",TRIM(INDEX(Maestro!$E:$E,MATCH($A43,Maestro!$A:$A,0))&amp;" "&amp;INDEX(Maestro!$F:$F,MATCH($A43,Maestro!$A:$A,0))&amp;" "&amp;INDEX(Maestro!$G:$G,MATCH($A43,Maestro!$A:$A,0)))),""))</f>
        <v/>
      </c>
      <c r="F43" s="13" t="str">
        <f aca="false">IF($A43="","",IFERROR(INDEX(Maestro!$H:$H,MATCH($A43,Maestro!$A:$A,0))&amp;"",""))</f>
        <v/>
      </c>
      <c r="G43" s="13" t="str">
        <f aca="false">IF($A43="","",IFERROR(INDEX(Maestro!$I:$I,MATCH($A43,Maestro!$A:$A,0))&amp;"",""))</f>
        <v/>
      </c>
      <c r="H43" s="14"/>
      <c r="I43" s="11"/>
    </row>
    <row r="44" customFormat="false" ht="15" hidden="false" customHeight="false" outlineLevel="0" collapsed="false">
      <c r="A44" s="11"/>
      <c r="B44" s="12"/>
      <c r="C44" s="13" t="str">
        <f aca="false">IF($A44="","",IFERROR(INDEX(Maestro!$C:$C,MATCH($A44,Maestro!$A:$A,0)),"Código no existe"))</f>
        <v/>
      </c>
      <c r="D44" s="13" t="str">
        <f aca="false">IF($A44="","",IFERROR(INDEX(Maestro!$D:$D,MATCH($A44,Maestro!$A:$A,0))&amp;"",""))</f>
        <v/>
      </c>
      <c r="E44" s="13" t="str">
        <f aca="false">IF($A44="","",IFERROR(IF(INDEX(Maestro!$I:$I,MATCH($A44,Maestro!$A:$A,0))="Peso","Por libra",TRIM(INDEX(Maestro!$E:$E,MATCH($A44,Maestro!$A:$A,0))&amp;" "&amp;INDEX(Maestro!$F:$F,MATCH($A44,Maestro!$A:$A,0))&amp;" "&amp;INDEX(Maestro!$G:$G,MATCH($A44,Maestro!$A:$A,0)))),""))</f>
        <v/>
      </c>
      <c r="F44" s="13" t="str">
        <f aca="false">IF($A44="","",IFERROR(INDEX(Maestro!$H:$H,MATCH($A44,Maestro!$A:$A,0))&amp;"",""))</f>
        <v/>
      </c>
      <c r="G44" s="13" t="str">
        <f aca="false">IF($A44="","",IFERROR(INDEX(Maestro!$I:$I,MATCH($A44,Maestro!$A:$A,0))&amp;"",""))</f>
        <v/>
      </c>
      <c r="H44" s="14"/>
      <c r="I44" s="11"/>
    </row>
    <row r="45" customFormat="false" ht="15" hidden="false" customHeight="false" outlineLevel="0" collapsed="false">
      <c r="A45" s="11"/>
      <c r="B45" s="12"/>
      <c r="C45" s="13" t="str">
        <f aca="false">IF($A45="","",IFERROR(INDEX(Maestro!$C:$C,MATCH($A45,Maestro!$A:$A,0)),"Código no existe"))</f>
        <v/>
      </c>
      <c r="D45" s="13" t="str">
        <f aca="false">IF($A45="","",IFERROR(INDEX(Maestro!$D:$D,MATCH($A45,Maestro!$A:$A,0))&amp;"",""))</f>
        <v/>
      </c>
      <c r="E45" s="13" t="str">
        <f aca="false">IF($A45="","",IFERROR(IF(INDEX(Maestro!$I:$I,MATCH($A45,Maestro!$A:$A,0))="Peso","Por libra",TRIM(INDEX(Maestro!$E:$E,MATCH($A45,Maestro!$A:$A,0))&amp;" "&amp;INDEX(Maestro!$F:$F,MATCH($A45,Maestro!$A:$A,0))&amp;" "&amp;INDEX(Maestro!$G:$G,MATCH($A45,Maestro!$A:$A,0)))),""))</f>
        <v/>
      </c>
      <c r="F45" s="13" t="str">
        <f aca="false">IF($A45="","",IFERROR(INDEX(Maestro!$H:$H,MATCH($A45,Maestro!$A:$A,0))&amp;"",""))</f>
        <v/>
      </c>
      <c r="G45" s="13" t="str">
        <f aca="false">IF($A45="","",IFERROR(INDEX(Maestro!$I:$I,MATCH($A45,Maestro!$A:$A,0))&amp;"",""))</f>
        <v/>
      </c>
      <c r="H45" s="14"/>
      <c r="I45" s="11"/>
    </row>
    <row r="46" customFormat="false" ht="15" hidden="false" customHeight="false" outlineLevel="0" collapsed="false">
      <c r="A46" s="11"/>
      <c r="B46" s="12"/>
      <c r="C46" s="13" t="str">
        <f aca="false">IF($A46="","",IFERROR(INDEX(Maestro!$C:$C,MATCH($A46,Maestro!$A:$A,0)),"Código no existe"))</f>
        <v/>
      </c>
      <c r="D46" s="13" t="str">
        <f aca="false">IF($A46="","",IFERROR(INDEX(Maestro!$D:$D,MATCH($A46,Maestro!$A:$A,0))&amp;"",""))</f>
        <v/>
      </c>
      <c r="E46" s="13" t="str">
        <f aca="false">IF($A46="","",IFERROR(IF(INDEX(Maestro!$I:$I,MATCH($A46,Maestro!$A:$A,0))="Peso","Por libra",TRIM(INDEX(Maestro!$E:$E,MATCH($A46,Maestro!$A:$A,0))&amp;" "&amp;INDEX(Maestro!$F:$F,MATCH($A46,Maestro!$A:$A,0))&amp;" "&amp;INDEX(Maestro!$G:$G,MATCH($A46,Maestro!$A:$A,0)))),""))</f>
        <v/>
      </c>
      <c r="F46" s="13" t="str">
        <f aca="false">IF($A46="","",IFERROR(INDEX(Maestro!$H:$H,MATCH($A46,Maestro!$A:$A,0))&amp;"",""))</f>
        <v/>
      </c>
      <c r="G46" s="13" t="str">
        <f aca="false">IF($A46="","",IFERROR(INDEX(Maestro!$I:$I,MATCH($A46,Maestro!$A:$A,0))&amp;"",""))</f>
        <v/>
      </c>
      <c r="H46" s="14"/>
      <c r="I46" s="11"/>
    </row>
    <row r="47" customFormat="false" ht="15" hidden="false" customHeight="false" outlineLevel="0" collapsed="false">
      <c r="A47" s="11"/>
      <c r="B47" s="12"/>
      <c r="C47" s="13" t="str">
        <f aca="false">IF($A47="","",IFERROR(INDEX(Maestro!$C:$C,MATCH($A47,Maestro!$A:$A,0)),"Código no existe"))</f>
        <v/>
      </c>
      <c r="D47" s="13" t="str">
        <f aca="false">IF($A47="","",IFERROR(INDEX(Maestro!$D:$D,MATCH($A47,Maestro!$A:$A,0))&amp;"",""))</f>
        <v/>
      </c>
      <c r="E47" s="13" t="str">
        <f aca="false">IF($A47="","",IFERROR(IF(INDEX(Maestro!$I:$I,MATCH($A47,Maestro!$A:$A,0))="Peso","Por libra",TRIM(INDEX(Maestro!$E:$E,MATCH($A47,Maestro!$A:$A,0))&amp;" "&amp;INDEX(Maestro!$F:$F,MATCH($A47,Maestro!$A:$A,0))&amp;" "&amp;INDEX(Maestro!$G:$G,MATCH($A47,Maestro!$A:$A,0)))),""))</f>
        <v/>
      </c>
      <c r="F47" s="13" t="str">
        <f aca="false">IF($A47="","",IFERROR(INDEX(Maestro!$H:$H,MATCH($A47,Maestro!$A:$A,0))&amp;"",""))</f>
        <v/>
      </c>
      <c r="G47" s="13" t="str">
        <f aca="false">IF($A47="","",IFERROR(INDEX(Maestro!$I:$I,MATCH($A47,Maestro!$A:$A,0))&amp;"",""))</f>
        <v/>
      </c>
      <c r="H47" s="14"/>
      <c r="I47" s="11"/>
    </row>
    <row r="48" customFormat="false" ht="15" hidden="false" customHeight="false" outlineLevel="0" collapsed="false">
      <c r="A48" s="11"/>
      <c r="B48" s="12"/>
      <c r="C48" s="13" t="str">
        <f aca="false">IF($A48="","",IFERROR(INDEX(Maestro!$C:$C,MATCH($A48,Maestro!$A:$A,0)),"Código no existe"))</f>
        <v/>
      </c>
      <c r="D48" s="13" t="str">
        <f aca="false">IF($A48="","",IFERROR(INDEX(Maestro!$D:$D,MATCH($A48,Maestro!$A:$A,0))&amp;"",""))</f>
        <v/>
      </c>
      <c r="E48" s="13" t="str">
        <f aca="false">IF($A48="","",IFERROR(IF(INDEX(Maestro!$I:$I,MATCH($A48,Maestro!$A:$A,0))="Peso","Por libra",TRIM(INDEX(Maestro!$E:$E,MATCH($A48,Maestro!$A:$A,0))&amp;" "&amp;INDEX(Maestro!$F:$F,MATCH($A48,Maestro!$A:$A,0))&amp;" "&amp;INDEX(Maestro!$G:$G,MATCH($A48,Maestro!$A:$A,0)))),""))</f>
        <v/>
      </c>
      <c r="F48" s="13" t="str">
        <f aca="false">IF($A48="","",IFERROR(INDEX(Maestro!$H:$H,MATCH($A48,Maestro!$A:$A,0))&amp;"",""))</f>
        <v/>
      </c>
      <c r="G48" s="13" t="str">
        <f aca="false">IF($A48="","",IFERROR(INDEX(Maestro!$I:$I,MATCH($A48,Maestro!$A:$A,0))&amp;"",""))</f>
        <v/>
      </c>
      <c r="H48" s="14"/>
      <c r="I48" s="11"/>
    </row>
    <row r="49" customFormat="false" ht="15" hidden="false" customHeight="false" outlineLevel="0" collapsed="false">
      <c r="A49" s="11"/>
      <c r="B49" s="12"/>
      <c r="C49" s="13" t="str">
        <f aca="false">IF($A49="","",IFERROR(INDEX(Maestro!$C:$C,MATCH($A49,Maestro!$A:$A,0)),"Código no existe"))</f>
        <v/>
      </c>
      <c r="D49" s="13" t="str">
        <f aca="false">IF($A49="","",IFERROR(INDEX(Maestro!$D:$D,MATCH($A49,Maestro!$A:$A,0))&amp;"",""))</f>
        <v/>
      </c>
      <c r="E49" s="13" t="str">
        <f aca="false">IF($A49="","",IFERROR(IF(INDEX(Maestro!$I:$I,MATCH($A49,Maestro!$A:$A,0))="Peso","Por libra",TRIM(INDEX(Maestro!$E:$E,MATCH($A49,Maestro!$A:$A,0))&amp;" "&amp;INDEX(Maestro!$F:$F,MATCH($A49,Maestro!$A:$A,0))&amp;" "&amp;INDEX(Maestro!$G:$G,MATCH($A49,Maestro!$A:$A,0)))),""))</f>
        <v/>
      </c>
      <c r="F49" s="13" t="str">
        <f aca="false">IF($A49="","",IFERROR(INDEX(Maestro!$H:$H,MATCH($A49,Maestro!$A:$A,0))&amp;"",""))</f>
        <v/>
      </c>
      <c r="G49" s="13" t="str">
        <f aca="false">IF($A49="","",IFERROR(INDEX(Maestro!$I:$I,MATCH($A49,Maestro!$A:$A,0))&amp;"",""))</f>
        <v/>
      </c>
      <c r="H49" s="14"/>
      <c r="I49" s="11"/>
    </row>
    <row r="50" customFormat="false" ht="15" hidden="false" customHeight="false" outlineLevel="0" collapsed="false">
      <c r="A50" s="11"/>
      <c r="B50" s="12"/>
      <c r="C50" s="13" t="str">
        <f aca="false">IF($A50="","",IFERROR(INDEX(Maestro!$C:$C,MATCH($A50,Maestro!$A:$A,0)),"Código no existe"))</f>
        <v/>
      </c>
      <c r="D50" s="13" t="str">
        <f aca="false">IF($A50="","",IFERROR(INDEX(Maestro!$D:$D,MATCH($A50,Maestro!$A:$A,0))&amp;"",""))</f>
        <v/>
      </c>
      <c r="E50" s="13" t="str">
        <f aca="false">IF($A50="","",IFERROR(IF(INDEX(Maestro!$I:$I,MATCH($A50,Maestro!$A:$A,0))="Peso","Por libra",TRIM(INDEX(Maestro!$E:$E,MATCH($A50,Maestro!$A:$A,0))&amp;" "&amp;INDEX(Maestro!$F:$F,MATCH($A50,Maestro!$A:$A,0))&amp;" "&amp;INDEX(Maestro!$G:$G,MATCH($A50,Maestro!$A:$A,0)))),""))</f>
        <v/>
      </c>
      <c r="F50" s="13" t="str">
        <f aca="false">IF($A50="","",IFERROR(INDEX(Maestro!$H:$H,MATCH($A50,Maestro!$A:$A,0))&amp;"",""))</f>
        <v/>
      </c>
      <c r="G50" s="13" t="str">
        <f aca="false">IF($A50="","",IFERROR(INDEX(Maestro!$I:$I,MATCH($A50,Maestro!$A:$A,0))&amp;"",""))</f>
        <v/>
      </c>
      <c r="H50" s="14"/>
      <c r="I50" s="11"/>
    </row>
    <row r="51" customFormat="false" ht="15" hidden="false" customHeight="false" outlineLevel="0" collapsed="false">
      <c r="A51" s="11"/>
      <c r="B51" s="12"/>
      <c r="C51" s="13" t="str">
        <f aca="false">IF($A51="","",IFERROR(INDEX(Maestro!$C:$C,MATCH($A51,Maestro!$A:$A,0)),"Código no existe"))</f>
        <v/>
      </c>
      <c r="D51" s="13" t="str">
        <f aca="false">IF($A51="","",IFERROR(INDEX(Maestro!$D:$D,MATCH($A51,Maestro!$A:$A,0))&amp;"",""))</f>
        <v/>
      </c>
      <c r="E51" s="13" t="str">
        <f aca="false">IF($A51="","",IFERROR(IF(INDEX(Maestro!$I:$I,MATCH($A51,Maestro!$A:$A,0))="Peso","Por libra",TRIM(INDEX(Maestro!$E:$E,MATCH($A51,Maestro!$A:$A,0))&amp;" "&amp;INDEX(Maestro!$F:$F,MATCH($A51,Maestro!$A:$A,0))&amp;" "&amp;INDEX(Maestro!$G:$G,MATCH($A51,Maestro!$A:$A,0)))),""))</f>
        <v/>
      </c>
      <c r="F51" s="13" t="str">
        <f aca="false">IF($A51="","",IFERROR(INDEX(Maestro!$H:$H,MATCH($A51,Maestro!$A:$A,0))&amp;"",""))</f>
        <v/>
      </c>
      <c r="G51" s="13" t="str">
        <f aca="false">IF($A51="","",IFERROR(INDEX(Maestro!$I:$I,MATCH($A51,Maestro!$A:$A,0))&amp;"",""))</f>
        <v/>
      </c>
      <c r="H51" s="14"/>
      <c r="I51" s="11"/>
    </row>
    <row r="52" customFormat="false" ht="15" hidden="false" customHeight="false" outlineLevel="0" collapsed="false">
      <c r="A52" s="11"/>
      <c r="B52" s="12"/>
      <c r="C52" s="13" t="str">
        <f aca="false">IF($A52="","",IFERROR(INDEX(Maestro!$C:$C,MATCH($A52,Maestro!$A:$A,0)),"Código no existe"))</f>
        <v/>
      </c>
      <c r="D52" s="13" t="str">
        <f aca="false">IF($A52="","",IFERROR(INDEX(Maestro!$D:$D,MATCH($A52,Maestro!$A:$A,0))&amp;"",""))</f>
        <v/>
      </c>
      <c r="E52" s="13" t="str">
        <f aca="false">IF($A52="","",IFERROR(IF(INDEX(Maestro!$I:$I,MATCH($A52,Maestro!$A:$A,0))="Peso","Por libra",TRIM(INDEX(Maestro!$E:$E,MATCH($A52,Maestro!$A:$A,0))&amp;" "&amp;INDEX(Maestro!$F:$F,MATCH($A52,Maestro!$A:$A,0))&amp;" "&amp;INDEX(Maestro!$G:$G,MATCH($A52,Maestro!$A:$A,0)))),""))</f>
        <v/>
      </c>
      <c r="F52" s="13" t="str">
        <f aca="false">IF($A52="","",IFERROR(INDEX(Maestro!$H:$H,MATCH($A52,Maestro!$A:$A,0))&amp;"",""))</f>
        <v/>
      </c>
      <c r="G52" s="13" t="str">
        <f aca="false">IF($A52="","",IFERROR(INDEX(Maestro!$I:$I,MATCH($A52,Maestro!$A:$A,0))&amp;"",""))</f>
        <v/>
      </c>
      <c r="H52" s="14"/>
      <c r="I52" s="11"/>
    </row>
    <row r="53" customFormat="false" ht="15" hidden="false" customHeight="false" outlineLevel="0" collapsed="false">
      <c r="A53" s="11"/>
      <c r="B53" s="12"/>
      <c r="C53" s="13" t="str">
        <f aca="false">IF($A53="","",IFERROR(INDEX(Maestro!$C:$C,MATCH($A53,Maestro!$A:$A,0)),"Código no existe"))</f>
        <v/>
      </c>
      <c r="D53" s="13" t="str">
        <f aca="false">IF($A53="","",IFERROR(INDEX(Maestro!$D:$D,MATCH($A53,Maestro!$A:$A,0))&amp;"",""))</f>
        <v/>
      </c>
      <c r="E53" s="13" t="str">
        <f aca="false">IF($A53="","",IFERROR(IF(INDEX(Maestro!$I:$I,MATCH($A53,Maestro!$A:$A,0))="Peso","Por libra",TRIM(INDEX(Maestro!$E:$E,MATCH($A53,Maestro!$A:$A,0))&amp;" "&amp;INDEX(Maestro!$F:$F,MATCH($A53,Maestro!$A:$A,0))&amp;" "&amp;INDEX(Maestro!$G:$G,MATCH($A53,Maestro!$A:$A,0)))),""))</f>
        <v/>
      </c>
      <c r="F53" s="13" t="str">
        <f aca="false">IF($A53="","",IFERROR(INDEX(Maestro!$H:$H,MATCH($A53,Maestro!$A:$A,0))&amp;"",""))</f>
        <v/>
      </c>
      <c r="G53" s="13" t="str">
        <f aca="false">IF($A53="","",IFERROR(INDEX(Maestro!$I:$I,MATCH($A53,Maestro!$A:$A,0))&amp;"",""))</f>
        <v/>
      </c>
      <c r="H53" s="14"/>
      <c r="I53" s="11"/>
    </row>
    <row r="54" customFormat="false" ht="15" hidden="false" customHeight="false" outlineLevel="0" collapsed="false">
      <c r="A54" s="11"/>
      <c r="B54" s="12"/>
      <c r="C54" s="13" t="str">
        <f aca="false">IF($A54="","",IFERROR(INDEX(Maestro!$C:$C,MATCH($A54,Maestro!$A:$A,0)),"Código no existe"))</f>
        <v/>
      </c>
      <c r="D54" s="13" t="str">
        <f aca="false">IF($A54="","",IFERROR(INDEX(Maestro!$D:$D,MATCH($A54,Maestro!$A:$A,0))&amp;"",""))</f>
        <v/>
      </c>
      <c r="E54" s="13" t="str">
        <f aca="false">IF($A54="","",IFERROR(IF(INDEX(Maestro!$I:$I,MATCH($A54,Maestro!$A:$A,0))="Peso","Por libra",TRIM(INDEX(Maestro!$E:$E,MATCH($A54,Maestro!$A:$A,0))&amp;" "&amp;INDEX(Maestro!$F:$F,MATCH($A54,Maestro!$A:$A,0))&amp;" "&amp;INDEX(Maestro!$G:$G,MATCH($A54,Maestro!$A:$A,0)))),""))</f>
        <v/>
      </c>
      <c r="F54" s="13" t="str">
        <f aca="false">IF($A54="","",IFERROR(INDEX(Maestro!$H:$H,MATCH($A54,Maestro!$A:$A,0))&amp;"",""))</f>
        <v/>
      </c>
      <c r="G54" s="13" t="str">
        <f aca="false">IF($A54="","",IFERROR(INDEX(Maestro!$I:$I,MATCH($A54,Maestro!$A:$A,0))&amp;"",""))</f>
        <v/>
      </c>
      <c r="H54" s="14"/>
      <c r="I54" s="11"/>
    </row>
    <row r="55" customFormat="false" ht="15" hidden="false" customHeight="false" outlineLevel="0" collapsed="false">
      <c r="A55" s="11"/>
      <c r="B55" s="12"/>
      <c r="C55" s="13" t="str">
        <f aca="false">IF($A55="","",IFERROR(INDEX(Maestro!$C:$C,MATCH($A55,Maestro!$A:$A,0)),"Código no existe"))</f>
        <v/>
      </c>
      <c r="D55" s="13" t="str">
        <f aca="false">IF($A55="","",IFERROR(INDEX(Maestro!$D:$D,MATCH($A55,Maestro!$A:$A,0))&amp;"",""))</f>
        <v/>
      </c>
      <c r="E55" s="13" t="str">
        <f aca="false">IF($A55="","",IFERROR(IF(INDEX(Maestro!$I:$I,MATCH($A55,Maestro!$A:$A,0))="Peso","Por libra",TRIM(INDEX(Maestro!$E:$E,MATCH($A55,Maestro!$A:$A,0))&amp;" "&amp;INDEX(Maestro!$F:$F,MATCH($A55,Maestro!$A:$A,0))&amp;" "&amp;INDEX(Maestro!$G:$G,MATCH($A55,Maestro!$A:$A,0)))),""))</f>
        <v/>
      </c>
      <c r="F55" s="13" t="str">
        <f aca="false">IF($A55="","",IFERROR(INDEX(Maestro!$H:$H,MATCH($A55,Maestro!$A:$A,0))&amp;"",""))</f>
        <v/>
      </c>
      <c r="G55" s="13" t="str">
        <f aca="false">IF($A55="","",IFERROR(INDEX(Maestro!$I:$I,MATCH($A55,Maestro!$A:$A,0))&amp;"",""))</f>
        <v/>
      </c>
      <c r="H55" s="14"/>
      <c r="I55" s="11"/>
    </row>
    <row r="56" customFormat="false" ht="15" hidden="false" customHeight="false" outlineLevel="0" collapsed="false">
      <c r="A56" s="11"/>
      <c r="B56" s="12"/>
      <c r="C56" s="13" t="str">
        <f aca="false">IF($A56="","",IFERROR(INDEX(Maestro!$C:$C,MATCH($A56,Maestro!$A:$A,0)),"Código no existe"))</f>
        <v/>
      </c>
      <c r="D56" s="13" t="str">
        <f aca="false">IF($A56="","",IFERROR(INDEX(Maestro!$D:$D,MATCH($A56,Maestro!$A:$A,0))&amp;"",""))</f>
        <v/>
      </c>
      <c r="E56" s="13" t="str">
        <f aca="false">IF($A56="","",IFERROR(IF(INDEX(Maestro!$I:$I,MATCH($A56,Maestro!$A:$A,0))="Peso","Por libra",TRIM(INDEX(Maestro!$E:$E,MATCH($A56,Maestro!$A:$A,0))&amp;" "&amp;INDEX(Maestro!$F:$F,MATCH($A56,Maestro!$A:$A,0))&amp;" "&amp;INDEX(Maestro!$G:$G,MATCH($A56,Maestro!$A:$A,0)))),""))</f>
        <v/>
      </c>
      <c r="F56" s="13" t="str">
        <f aca="false">IF($A56="","",IFERROR(INDEX(Maestro!$H:$H,MATCH($A56,Maestro!$A:$A,0))&amp;"",""))</f>
        <v/>
      </c>
      <c r="G56" s="13" t="str">
        <f aca="false">IF($A56="","",IFERROR(INDEX(Maestro!$I:$I,MATCH($A56,Maestro!$A:$A,0))&amp;"",""))</f>
        <v/>
      </c>
      <c r="H56" s="14"/>
      <c r="I56" s="11"/>
    </row>
    <row r="57" customFormat="false" ht="15" hidden="false" customHeight="false" outlineLevel="0" collapsed="false">
      <c r="A57" s="11"/>
      <c r="B57" s="12"/>
      <c r="C57" s="13" t="str">
        <f aca="false">IF($A57="","",IFERROR(INDEX(Maestro!$C:$C,MATCH($A57,Maestro!$A:$A,0)),"Código no existe"))</f>
        <v/>
      </c>
      <c r="D57" s="13" t="str">
        <f aca="false">IF($A57="","",IFERROR(INDEX(Maestro!$D:$D,MATCH($A57,Maestro!$A:$A,0))&amp;"",""))</f>
        <v/>
      </c>
      <c r="E57" s="13" t="str">
        <f aca="false">IF($A57="","",IFERROR(IF(INDEX(Maestro!$I:$I,MATCH($A57,Maestro!$A:$A,0))="Peso","Por libra",TRIM(INDEX(Maestro!$E:$E,MATCH($A57,Maestro!$A:$A,0))&amp;" "&amp;INDEX(Maestro!$F:$F,MATCH($A57,Maestro!$A:$A,0))&amp;" "&amp;INDEX(Maestro!$G:$G,MATCH($A57,Maestro!$A:$A,0)))),""))</f>
        <v/>
      </c>
      <c r="F57" s="13" t="str">
        <f aca="false">IF($A57="","",IFERROR(INDEX(Maestro!$H:$H,MATCH($A57,Maestro!$A:$A,0))&amp;"",""))</f>
        <v/>
      </c>
      <c r="G57" s="13" t="str">
        <f aca="false">IF($A57="","",IFERROR(INDEX(Maestro!$I:$I,MATCH($A57,Maestro!$A:$A,0))&amp;"",""))</f>
        <v/>
      </c>
      <c r="H57" s="14"/>
      <c r="I57" s="11"/>
    </row>
    <row r="58" customFormat="false" ht="15" hidden="false" customHeight="false" outlineLevel="0" collapsed="false">
      <c r="A58" s="11"/>
      <c r="B58" s="12"/>
      <c r="C58" s="13" t="str">
        <f aca="false">IF($A58="","",IFERROR(INDEX(Maestro!$C:$C,MATCH($A58,Maestro!$A:$A,0)),"Código no existe"))</f>
        <v/>
      </c>
      <c r="D58" s="13" t="str">
        <f aca="false">IF($A58="","",IFERROR(INDEX(Maestro!$D:$D,MATCH($A58,Maestro!$A:$A,0))&amp;"",""))</f>
        <v/>
      </c>
      <c r="E58" s="13" t="str">
        <f aca="false">IF($A58="","",IFERROR(IF(INDEX(Maestro!$I:$I,MATCH($A58,Maestro!$A:$A,0))="Peso","Por libra",TRIM(INDEX(Maestro!$E:$E,MATCH($A58,Maestro!$A:$A,0))&amp;" "&amp;INDEX(Maestro!$F:$F,MATCH($A58,Maestro!$A:$A,0))&amp;" "&amp;INDEX(Maestro!$G:$G,MATCH($A58,Maestro!$A:$A,0)))),""))</f>
        <v/>
      </c>
      <c r="F58" s="13" t="str">
        <f aca="false">IF($A58="","",IFERROR(INDEX(Maestro!$H:$H,MATCH($A58,Maestro!$A:$A,0))&amp;"",""))</f>
        <v/>
      </c>
      <c r="G58" s="13" t="str">
        <f aca="false">IF($A58="","",IFERROR(INDEX(Maestro!$I:$I,MATCH($A58,Maestro!$A:$A,0))&amp;"",""))</f>
        <v/>
      </c>
      <c r="H58" s="14"/>
      <c r="I58" s="11"/>
    </row>
    <row r="59" customFormat="false" ht="15" hidden="false" customHeight="false" outlineLevel="0" collapsed="false">
      <c r="A59" s="11"/>
      <c r="B59" s="12"/>
      <c r="C59" s="13" t="str">
        <f aca="false">IF($A59="","",IFERROR(INDEX(Maestro!$C:$C,MATCH($A59,Maestro!$A:$A,0)),"Código no existe"))</f>
        <v/>
      </c>
      <c r="D59" s="13" t="str">
        <f aca="false">IF($A59="","",IFERROR(INDEX(Maestro!$D:$D,MATCH($A59,Maestro!$A:$A,0))&amp;"",""))</f>
        <v/>
      </c>
      <c r="E59" s="13" t="str">
        <f aca="false">IF($A59="","",IFERROR(IF(INDEX(Maestro!$I:$I,MATCH($A59,Maestro!$A:$A,0))="Peso","Por libra",TRIM(INDEX(Maestro!$E:$E,MATCH($A59,Maestro!$A:$A,0))&amp;" "&amp;INDEX(Maestro!$F:$F,MATCH($A59,Maestro!$A:$A,0))&amp;" "&amp;INDEX(Maestro!$G:$G,MATCH($A59,Maestro!$A:$A,0)))),""))</f>
        <v/>
      </c>
      <c r="F59" s="13" t="str">
        <f aca="false">IF($A59="","",IFERROR(INDEX(Maestro!$H:$H,MATCH($A59,Maestro!$A:$A,0))&amp;"",""))</f>
        <v/>
      </c>
      <c r="G59" s="13" t="str">
        <f aca="false">IF($A59="","",IFERROR(INDEX(Maestro!$I:$I,MATCH($A59,Maestro!$A:$A,0))&amp;"",""))</f>
        <v/>
      </c>
      <c r="H59" s="14"/>
      <c r="I59" s="11"/>
    </row>
    <row r="60" customFormat="false" ht="15" hidden="false" customHeight="false" outlineLevel="0" collapsed="false">
      <c r="A60" s="11"/>
      <c r="B60" s="12"/>
      <c r="C60" s="13" t="str">
        <f aca="false">IF($A60="","",IFERROR(INDEX(Maestro!$C:$C,MATCH($A60,Maestro!$A:$A,0)),"Código no existe"))</f>
        <v/>
      </c>
      <c r="D60" s="13" t="str">
        <f aca="false">IF($A60="","",IFERROR(INDEX(Maestro!$D:$D,MATCH($A60,Maestro!$A:$A,0))&amp;"",""))</f>
        <v/>
      </c>
      <c r="E60" s="13" t="str">
        <f aca="false">IF($A60="","",IFERROR(IF(INDEX(Maestro!$I:$I,MATCH($A60,Maestro!$A:$A,0))="Peso","Por libra",TRIM(INDEX(Maestro!$E:$E,MATCH($A60,Maestro!$A:$A,0))&amp;" "&amp;INDEX(Maestro!$F:$F,MATCH($A60,Maestro!$A:$A,0))&amp;" "&amp;INDEX(Maestro!$G:$G,MATCH($A60,Maestro!$A:$A,0)))),""))</f>
        <v/>
      </c>
      <c r="F60" s="13" t="str">
        <f aca="false">IF($A60="","",IFERROR(INDEX(Maestro!$H:$H,MATCH($A60,Maestro!$A:$A,0))&amp;"",""))</f>
        <v/>
      </c>
      <c r="G60" s="13" t="str">
        <f aca="false">IF($A60="","",IFERROR(INDEX(Maestro!$I:$I,MATCH($A60,Maestro!$A:$A,0))&amp;"",""))</f>
        <v/>
      </c>
      <c r="H60" s="14"/>
      <c r="I60" s="11"/>
    </row>
    <row r="61" customFormat="false" ht="15" hidden="false" customHeight="false" outlineLevel="0" collapsed="false">
      <c r="A61" s="11"/>
      <c r="B61" s="12"/>
      <c r="C61" s="13" t="str">
        <f aca="false">IF($A61="","",IFERROR(INDEX(Maestro!$C:$C,MATCH($A61,Maestro!$A:$A,0)),"Código no existe"))</f>
        <v/>
      </c>
      <c r="D61" s="13" t="str">
        <f aca="false">IF($A61="","",IFERROR(INDEX(Maestro!$D:$D,MATCH($A61,Maestro!$A:$A,0))&amp;"",""))</f>
        <v/>
      </c>
      <c r="E61" s="13" t="str">
        <f aca="false">IF($A61="","",IFERROR(IF(INDEX(Maestro!$I:$I,MATCH($A61,Maestro!$A:$A,0))="Peso","Por libra",TRIM(INDEX(Maestro!$E:$E,MATCH($A61,Maestro!$A:$A,0))&amp;" "&amp;INDEX(Maestro!$F:$F,MATCH($A61,Maestro!$A:$A,0))&amp;" "&amp;INDEX(Maestro!$G:$G,MATCH($A61,Maestro!$A:$A,0)))),""))</f>
        <v/>
      </c>
      <c r="F61" s="13" t="str">
        <f aca="false">IF($A61="","",IFERROR(INDEX(Maestro!$H:$H,MATCH($A61,Maestro!$A:$A,0))&amp;"",""))</f>
        <v/>
      </c>
      <c r="G61" s="13" t="str">
        <f aca="false">IF($A61="","",IFERROR(INDEX(Maestro!$I:$I,MATCH($A61,Maestro!$A:$A,0))&amp;"",""))</f>
        <v/>
      </c>
      <c r="H61" s="14"/>
      <c r="I61" s="11"/>
    </row>
    <row r="62" customFormat="false" ht="15" hidden="false" customHeight="false" outlineLevel="0" collapsed="false">
      <c r="A62" s="11"/>
      <c r="B62" s="12"/>
      <c r="C62" s="13" t="str">
        <f aca="false">IF($A62="","",IFERROR(INDEX(Maestro!$C:$C,MATCH($A62,Maestro!$A:$A,0)),"Código no existe"))</f>
        <v/>
      </c>
      <c r="D62" s="13" t="str">
        <f aca="false">IF($A62="","",IFERROR(INDEX(Maestro!$D:$D,MATCH($A62,Maestro!$A:$A,0))&amp;"",""))</f>
        <v/>
      </c>
      <c r="E62" s="13" t="str">
        <f aca="false">IF($A62="","",IFERROR(IF(INDEX(Maestro!$I:$I,MATCH($A62,Maestro!$A:$A,0))="Peso","Por libra",TRIM(INDEX(Maestro!$E:$E,MATCH($A62,Maestro!$A:$A,0))&amp;" "&amp;INDEX(Maestro!$F:$F,MATCH($A62,Maestro!$A:$A,0))&amp;" "&amp;INDEX(Maestro!$G:$G,MATCH($A62,Maestro!$A:$A,0)))),""))</f>
        <v/>
      </c>
      <c r="F62" s="13" t="str">
        <f aca="false">IF($A62="","",IFERROR(INDEX(Maestro!$H:$H,MATCH($A62,Maestro!$A:$A,0))&amp;"",""))</f>
        <v/>
      </c>
      <c r="G62" s="13" t="str">
        <f aca="false">IF($A62="","",IFERROR(INDEX(Maestro!$I:$I,MATCH($A62,Maestro!$A:$A,0))&amp;"",""))</f>
        <v/>
      </c>
      <c r="H62" s="14"/>
      <c r="I62" s="11"/>
    </row>
    <row r="63" customFormat="false" ht="15" hidden="false" customHeight="false" outlineLevel="0" collapsed="false">
      <c r="A63" s="11"/>
      <c r="B63" s="12"/>
      <c r="C63" s="13" t="str">
        <f aca="false">IF($A63="","",IFERROR(INDEX(Maestro!$C:$C,MATCH($A63,Maestro!$A:$A,0)),"Código no existe"))</f>
        <v/>
      </c>
      <c r="D63" s="13" t="str">
        <f aca="false">IF($A63="","",IFERROR(INDEX(Maestro!$D:$D,MATCH($A63,Maestro!$A:$A,0))&amp;"",""))</f>
        <v/>
      </c>
      <c r="E63" s="13" t="str">
        <f aca="false">IF($A63="","",IFERROR(IF(INDEX(Maestro!$I:$I,MATCH($A63,Maestro!$A:$A,0))="Peso","Por libra",TRIM(INDEX(Maestro!$E:$E,MATCH($A63,Maestro!$A:$A,0))&amp;" "&amp;INDEX(Maestro!$F:$F,MATCH($A63,Maestro!$A:$A,0))&amp;" "&amp;INDEX(Maestro!$G:$G,MATCH($A63,Maestro!$A:$A,0)))),""))</f>
        <v/>
      </c>
      <c r="F63" s="13" t="str">
        <f aca="false">IF($A63="","",IFERROR(INDEX(Maestro!$H:$H,MATCH($A63,Maestro!$A:$A,0))&amp;"",""))</f>
        <v/>
      </c>
      <c r="G63" s="13" t="str">
        <f aca="false">IF($A63="","",IFERROR(INDEX(Maestro!$I:$I,MATCH($A63,Maestro!$A:$A,0))&amp;"",""))</f>
        <v/>
      </c>
      <c r="H63" s="14"/>
      <c r="I63" s="11"/>
    </row>
    <row r="64" customFormat="false" ht="15" hidden="false" customHeight="false" outlineLevel="0" collapsed="false">
      <c r="A64" s="11"/>
      <c r="B64" s="12"/>
      <c r="C64" s="13" t="str">
        <f aca="false">IF($A64="","",IFERROR(INDEX(Maestro!$C:$C,MATCH($A64,Maestro!$A:$A,0)),"Código no existe"))</f>
        <v/>
      </c>
      <c r="D64" s="13" t="str">
        <f aca="false">IF($A64="","",IFERROR(INDEX(Maestro!$D:$D,MATCH($A64,Maestro!$A:$A,0))&amp;"",""))</f>
        <v/>
      </c>
      <c r="E64" s="13" t="str">
        <f aca="false">IF($A64="","",IFERROR(IF(INDEX(Maestro!$I:$I,MATCH($A64,Maestro!$A:$A,0))="Peso","Por libra",TRIM(INDEX(Maestro!$E:$E,MATCH($A64,Maestro!$A:$A,0))&amp;" "&amp;INDEX(Maestro!$F:$F,MATCH($A64,Maestro!$A:$A,0))&amp;" "&amp;INDEX(Maestro!$G:$G,MATCH($A64,Maestro!$A:$A,0)))),""))</f>
        <v/>
      </c>
      <c r="F64" s="13" t="str">
        <f aca="false">IF($A64="","",IFERROR(INDEX(Maestro!$H:$H,MATCH($A64,Maestro!$A:$A,0))&amp;"",""))</f>
        <v/>
      </c>
      <c r="G64" s="13" t="str">
        <f aca="false">IF($A64="","",IFERROR(INDEX(Maestro!$I:$I,MATCH($A64,Maestro!$A:$A,0))&amp;"",""))</f>
        <v/>
      </c>
      <c r="H64" s="14"/>
      <c r="I64" s="11"/>
    </row>
    <row r="65" customFormat="false" ht="15" hidden="false" customHeight="false" outlineLevel="0" collapsed="false">
      <c r="A65" s="11"/>
      <c r="B65" s="12"/>
      <c r="C65" s="13" t="str">
        <f aca="false">IF($A65="","",IFERROR(INDEX(Maestro!$C:$C,MATCH($A65,Maestro!$A:$A,0)),"Código no existe"))</f>
        <v/>
      </c>
      <c r="D65" s="13" t="str">
        <f aca="false">IF($A65="","",IFERROR(INDEX(Maestro!$D:$D,MATCH($A65,Maestro!$A:$A,0))&amp;"",""))</f>
        <v/>
      </c>
      <c r="E65" s="13" t="str">
        <f aca="false">IF($A65="","",IFERROR(IF(INDEX(Maestro!$I:$I,MATCH($A65,Maestro!$A:$A,0))="Peso","Por libra",TRIM(INDEX(Maestro!$E:$E,MATCH($A65,Maestro!$A:$A,0))&amp;" "&amp;INDEX(Maestro!$F:$F,MATCH($A65,Maestro!$A:$A,0))&amp;" "&amp;INDEX(Maestro!$G:$G,MATCH($A65,Maestro!$A:$A,0)))),""))</f>
        <v/>
      </c>
      <c r="F65" s="13" t="str">
        <f aca="false">IF($A65="","",IFERROR(INDEX(Maestro!$H:$H,MATCH($A65,Maestro!$A:$A,0))&amp;"",""))</f>
        <v/>
      </c>
      <c r="G65" s="13" t="str">
        <f aca="false">IF($A65="","",IFERROR(INDEX(Maestro!$I:$I,MATCH($A65,Maestro!$A:$A,0))&amp;"",""))</f>
        <v/>
      </c>
      <c r="H65" s="14"/>
      <c r="I65" s="11"/>
    </row>
    <row r="66" customFormat="false" ht="15" hidden="false" customHeight="false" outlineLevel="0" collapsed="false">
      <c r="A66" s="11"/>
      <c r="B66" s="12"/>
      <c r="C66" s="13" t="str">
        <f aca="false">IF($A66="","",IFERROR(INDEX(Maestro!$C:$C,MATCH($A66,Maestro!$A:$A,0)),"Código no existe"))</f>
        <v/>
      </c>
      <c r="D66" s="13" t="str">
        <f aca="false">IF($A66="","",IFERROR(INDEX(Maestro!$D:$D,MATCH($A66,Maestro!$A:$A,0))&amp;"",""))</f>
        <v/>
      </c>
      <c r="E66" s="13" t="str">
        <f aca="false">IF($A66="","",IFERROR(IF(INDEX(Maestro!$I:$I,MATCH($A66,Maestro!$A:$A,0))="Peso","Por libra",TRIM(INDEX(Maestro!$E:$E,MATCH($A66,Maestro!$A:$A,0))&amp;" "&amp;INDEX(Maestro!$F:$F,MATCH($A66,Maestro!$A:$A,0))&amp;" "&amp;INDEX(Maestro!$G:$G,MATCH($A66,Maestro!$A:$A,0)))),""))</f>
        <v/>
      </c>
      <c r="F66" s="13" t="str">
        <f aca="false">IF($A66="","",IFERROR(INDEX(Maestro!$H:$H,MATCH($A66,Maestro!$A:$A,0))&amp;"",""))</f>
        <v/>
      </c>
      <c r="G66" s="13" t="str">
        <f aca="false">IF($A66="","",IFERROR(INDEX(Maestro!$I:$I,MATCH($A66,Maestro!$A:$A,0))&amp;"",""))</f>
        <v/>
      </c>
      <c r="H66" s="14"/>
      <c r="I66" s="11"/>
    </row>
    <row r="67" customFormat="false" ht="15" hidden="false" customHeight="false" outlineLevel="0" collapsed="false">
      <c r="A67" s="11"/>
      <c r="B67" s="12"/>
      <c r="C67" s="13" t="str">
        <f aca="false">IF($A67="","",IFERROR(INDEX(Maestro!$C:$C,MATCH($A67,Maestro!$A:$A,0)),"Código no existe"))</f>
        <v/>
      </c>
      <c r="D67" s="13" t="str">
        <f aca="false">IF($A67="","",IFERROR(INDEX(Maestro!$D:$D,MATCH($A67,Maestro!$A:$A,0))&amp;"",""))</f>
        <v/>
      </c>
      <c r="E67" s="13" t="str">
        <f aca="false">IF($A67="","",IFERROR(IF(INDEX(Maestro!$I:$I,MATCH($A67,Maestro!$A:$A,0))="Peso","Por libra",TRIM(INDEX(Maestro!$E:$E,MATCH($A67,Maestro!$A:$A,0))&amp;" "&amp;INDEX(Maestro!$F:$F,MATCH($A67,Maestro!$A:$A,0))&amp;" "&amp;INDEX(Maestro!$G:$G,MATCH($A67,Maestro!$A:$A,0)))),""))</f>
        <v/>
      </c>
      <c r="F67" s="13" t="str">
        <f aca="false">IF($A67="","",IFERROR(INDEX(Maestro!$H:$H,MATCH($A67,Maestro!$A:$A,0))&amp;"",""))</f>
        <v/>
      </c>
      <c r="G67" s="13" t="str">
        <f aca="false">IF($A67="","",IFERROR(INDEX(Maestro!$I:$I,MATCH($A67,Maestro!$A:$A,0))&amp;"",""))</f>
        <v/>
      </c>
      <c r="H67" s="14"/>
      <c r="I67" s="11"/>
    </row>
    <row r="68" customFormat="false" ht="15" hidden="false" customHeight="false" outlineLevel="0" collapsed="false">
      <c r="A68" s="11"/>
      <c r="B68" s="12"/>
      <c r="C68" s="13" t="str">
        <f aca="false">IF($A68="","",IFERROR(INDEX(Maestro!$C:$C,MATCH($A68,Maestro!$A:$A,0)),"Código no existe"))</f>
        <v/>
      </c>
      <c r="D68" s="13" t="str">
        <f aca="false">IF($A68="","",IFERROR(INDEX(Maestro!$D:$D,MATCH($A68,Maestro!$A:$A,0))&amp;"",""))</f>
        <v/>
      </c>
      <c r="E68" s="13" t="str">
        <f aca="false">IF($A68="","",IFERROR(IF(INDEX(Maestro!$I:$I,MATCH($A68,Maestro!$A:$A,0))="Peso","Por libra",TRIM(INDEX(Maestro!$E:$E,MATCH($A68,Maestro!$A:$A,0))&amp;" "&amp;INDEX(Maestro!$F:$F,MATCH($A68,Maestro!$A:$A,0))&amp;" "&amp;INDEX(Maestro!$G:$G,MATCH($A68,Maestro!$A:$A,0)))),""))</f>
        <v/>
      </c>
      <c r="F68" s="13" t="str">
        <f aca="false">IF($A68="","",IFERROR(INDEX(Maestro!$H:$H,MATCH($A68,Maestro!$A:$A,0))&amp;"",""))</f>
        <v/>
      </c>
      <c r="G68" s="13" t="str">
        <f aca="false">IF($A68="","",IFERROR(INDEX(Maestro!$I:$I,MATCH($A68,Maestro!$A:$A,0))&amp;"",""))</f>
        <v/>
      </c>
      <c r="H68" s="14"/>
      <c r="I68" s="11"/>
    </row>
    <row r="69" customFormat="false" ht="15" hidden="false" customHeight="false" outlineLevel="0" collapsed="false">
      <c r="A69" s="11"/>
      <c r="B69" s="12"/>
      <c r="C69" s="13" t="str">
        <f aca="false">IF($A69="","",IFERROR(INDEX(Maestro!$C:$C,MATCH($A69,Maestro!$A:$A,0)),"Código no existe"))</f>
        <v/>
      </c>
      <c r="D69" s="13" t="str">
        <f aca="false">IF($A69="","",IFERROR(INDEX(Maestro!$D:$D,MATCH($A69,Maestro!$A:$A,0))&amp;"",""))</f>
        <v/>
      </c>
      <c r="E69" s="13" t="str">
        <f aca="false">IF($A69="","",IFERROR(IF(INDEX(Maestro!$I:$I,MATCH($A69,Maestro!$A:$A,0))="Peso","Por libra",TRIM(INDEX(Maestro!$E:$E,MATCH($A69,Maestro!$A:$A,0))&amp;" "&amp;INDEX(Maestro!$F:$F,MATCH($A69,Maestro!$A:$A,0))&amp;" "&amp;INDEX(Maestro!$G:$G,MATCH($A69,Maestro!$A:$A,0)))),""))</f>
        <v/>
      </c>
      <c r="F69" s="13" t="str">
        <f aca="false">IF($A69="","",IFERROR(INDEX(Maestro!$H:$H,MATCH($A69,Maestro!$A:$A,0))&amp;"",""))</f>
        <v/>
      </c>
      <c r="G69" s="13" t="str">
        <f aca="false">IF($A69="","",IFERROR(INDEX(Maestro!$I:$I,MATCH($A69,Maestro!$A:$A,0))&amp;"",""))</f>
        <v/>
      </c>
      <c r="H69" s="14"/>
      <c r="I69" s="11"/>
    </row>
    <row r="70" customFormat="false" ht="15" hidden="false" customHeight="false" outlineLevel="0" collapsed="false">
      <c r="A70" s="11"/>
      <c r="B70" s="12"/>
      <c r="C70" s="13" t="str">
        <f aca="false">IF($A70="","",IFERROR(INDEX(Maestro!$C:$C,MATCH($A70,Maestro!$A:$A,0)),"Código no existe"))</f>
        <v/>
      </c>
      <c r="D70" s="13" t="str">
        <f aca="false">IF($A70="","",IFERROR(INDEX(Maestro!$D:$D,MATCH($A70,Maestro!$A:$A,0))&amp;"",""))</f>
        <v/>
      </c>
      <c r="E70" s="13" t="str">
        <f aca="false">IF($A70="","",IFERROR(IF(INDEX(Maestro!$I:$I,MATCH($A70,Maestro!$A:$A,0))="Peso","Por libra",TRIM(INDEX(Maestro!$E:$E,MATCH($A70,Maestro!$A:$A,0))&amp;" "&amp;INDEX(Maestro!$F:$F,MATCH($A70,Maestro!$A:$A,0))&amp;" "&amp;INDEX(Maestro!$G:$G,MATCH($A70,Maestro!$A:$A,0)))),""))</f>
        <v/>
      </c>
      <c r="F70" s="13" t="str">
        <f aca="false">IF($A70="","",IFERROR(INDEX(Maestro!$H:$H,MATCH($A70,Maestro!$A:$A,0))&amp;"",""))</f>
        <v/>
      </c>
      <c r="G70" s="13" t="str">
        <f aca="false">IF($A70="","",IFERROR(INDEX(Maestro!$I:$I,MATCH($A70,Maestro!$A:$A,0))&amp;"",""))</f>
        <v/>
      </c>
      <c r="H70" s="14"/>
      <c r="I70" s="11"/>
    </row>
    <row r="71" customFormat="false" ht="15" hidden="false" customHeight="false" outlineLevel="0" collapsed="false">
      <c r="A71" s="11"/>
      <c r="B71" s="12"/>
      <c r="C71" s="13" t="str">
        <f aca="false">IF($A71="","",IFERROR(INDEX(Maestro!$C:$C,MATCH($A71,Maestro!$A:$A,0)),"Código no existe"))</f>
        <v/>
      </c>
      <c r="D71" s="13" t="str">
        <f aca="false">IF($A71="","",IFERROR(INDEX(Maestro!$D:$D,MATCH($A71,Maestro!$A:$A,0))&amp;"",""))</f>
        <v/>
      </c>
      <c r="E71" s="13" t="str">
        <f aca="false">IF($A71="","",IFERROR(IF(INDEX(Maestro!$I:$I,MATCH($A71,Maestro!$A:$A,0))="Peso","Por libra",TRIM(INDEX(Maestro!$E:$E,MATCH($A71,Maestro!$A:$A,0))&amp;" "&amp;INDEX(Maestro!$F:$F,MATCH($A71,Maestro!$A:$A,0))&amp;" "&amp;INDEX(Maestro!$G:$G,MATCH($A71,Maestro!$A:$A,0)))),""))</f>
        <v/>
      </c>
      <c r="F71" s="13" t="str">
        <f aca="false">IF($A71="","",IFERROR(INDEX(Maestro!$H:$H,MATCH($A71,Maestro!$A:$A,0))&amp;"",""))</f>
        <v/>
      </c>
      <c r="G71" s="13" t="str">
        <f aca="false">IF($A71="","",IFERROR(INDEX(Maestro!$I:$I,MATCH($A71,Maestro!$A:$A,0))&amp;"",""))</f>
        <v/>
      </c>
      <c r="H71" s="14"/>
      <c r="I71" s="11"/>
    </row>
    <row r="72" customFormat="false" ht="15" hidden="false" customHeight="false" outlineLevel="0" collapsed="false">
      <c r="A72" s="11"/>
      <c r="B72" s="12"/>
      <c r="C72" s="13" t="str">
        <f aca="false">IF($A72="","",IFERROR(INDEX(Maestro!$C:$C,MATCH($A72,Maestro!$A:$A,0)),"Código no existe"))</f>
        <v/>
      </c>
      <c r="D72" s="13" t="str">
        <f aca="false">IF($A72="","",IFERROR(INDEX(Maestro!$D:$D,MATCH($A72,Maestro!$A:$A,0))&amp;"",""))</f>
        <v/>
      </c>
      <c r="E72" s="13" t="str">
        <f aca="false">IF($A72="","",IFERROR(IF(INDEX(Maestro!$I:$I,MATCH($A72,Maestro!$A:$A,0))="Peso","Por libra",TRIM(INDEX(Maestro!$E:$E,MATCH($A72,Maestro!$A:$A,0))&amp;" "&amp;INDEX(Maestro!$F:$F,MATCH($A72,Maestro!$A:$A,0))&amp;" "&amp;INDEX(Maestro!$G:$G,MATCH($A72,Maestro!$A:$A,0)))),""))</f>
        <v/>
      </c>
      <c r="F72" s="13" t="str">
        <f aca="false">IF($A72="","",IFERROR(INDEX(Maestro!$H:$H,MATCH($A72,Maestro!$A:$A,0))&amp;"",""))</f>
        <v/>
      </c>
      <c r="G72" s="13" t="str">
        <f aca="false">IF($A72="","",IFERROR(INDEX(Maestro!$I:$I,MATCH($A72,Maestro!$A:$A,0))&amp;"",""))</f>
        <v/>
      </c>
      <c r="H72" s="14"/>
      <c r="I72" s="11"/>
    </row>
    <row r="73" customFormat="false" ht="15" hidden="false" customHeight="false" outlineLevel="0" collapsed="false">
      <c r="A73" s="11"/>
      <c r="B73" s="12"/>
      <c r="C73" s="13" t="str">
        <f aca="false">IF($A73="","",IFERROR(INDEX(Maestro!$C:$C,MATCH($A73,Maestro!$A:$A,0)),"Código no existe"))</f>
        <v/>
      </c>
      <c r="D73" s="13" t="str">
        <f aca="false">IF($A73="","",IFERROR(INDEX(Maestro!$D:$D,MATCH($A73,Maestro!$A:$A,0))&amp;"",""))</f>
        <v/>
      </c>
      <c r="E73" s="13" t="str">
        <f aca="false">IF($A73="","",IFERROR(IF(INDEX(Maestro!$I:$I,MATCH($A73,Maestro!$A:$A,0))="Peso","Por libra",TRIM(INDEX(Maestro!$E:$E,MATCH($A73,Maestro!$A:$A,0))&amp;" "&amp;INDEX(Maestro!$F:$F,MATCH($A73,Maestro!$A:$A,0))&amp;" "&amp;INDEX(Maestro!$G:$G,MATCH($A73,Maestro!$A:$A,0)))),""))</f>
        <v/>
      </c>
      <c r="F73" s="13" t="str">
        <f aca="false">IF($A73="","",IFERROR(INDEX(Maestro!$H:$H,MATCH($A73,Maestro!$A:$A,0))&amp;"",""))</f>
        <v/>
      </c>
      <c r="G73" s="13" t="str">
        <f aca="false">IF($A73="","",IFERROR(INDEX(Maestro!$I:$I,MATCH($A73,Maestro!$A:$A,0))&amp;"",""))</f>
        <v/>
      </c>
      <c r="H73" s="14"/>
      <c r="I73" s="11"/>
    </row>
    <row r="74" customFormat="false" ht="15" hidden="false" customHeight="false" outlineLevel="0" collapsed="false">
      <c r="A74" s="11"/>
      <c r="B74" s="12"/>
      <c r="C74" s="13" t="str">
        <f aca="false">IF($A74="","",IFERROR(INDEX(Maestro!$C:$C,MATCH($A74,Maestro!$A:$A,0)),"Código no existe"))</f>
        <v/>
      </c>
      <c r="D74" s="13" t="str">
        <f aca="false">IF($A74="","",IFERROR(INDEX(Maestro!$D:$D,MATCH($A74,Maestro!$A:$A,0))&amp;"",""))</f>
        <v/>
      </c>
      <c r="E74" s="13" t="str">
        <f aca="false">IF($A74="","",IFERROR(IF(INDEX(Maestro!$I:$I,MATCH($A74,Maestro!$A:$A,0))="Peso","Por libra",TRIM(INDEX(Maestro!$E:$E,MATCH($A74,Maestro!$A:$A,0))&amp;" "&amp;INDEX(Maestro!$F:$F,MATCH($A74,Maestro!$A:$A,0))&amp;" "&amp;INDEX(Maestro!$G:$G,MATCH($A74,Maestro!$A:$A,0)))),""))</f>
        <v/>
      </c>
      <c r="F74" s="13" t="str">
        <f aca="false">IF($A74="","",IFERROR(INDEX(Maestro!$H:$H,MATCH($A74,Maestro!$A:$A,0))&amp;"",""))</f>
        <v/>
      </c>
      <c r="G74" s="13" t="str">
        <f aca="false">IF($A74="","",IFERROR(INDEX(Maestro!$I:$I,MATCH($A74,Maestro!$A:$A,0))&amp;"",""))</f>
        <v/>
      </c>
      <c r="H74" s="14"/>
      <c r="I74" s="11"/>
    </row>
    <row r="75" customFormat="false" ht="15" hidden="false" customHeight="false" outlineLevel="0" collapsed="false">
      <c r="A75" s="11"/>
      <c r="B75" s="12"/>
      <c r="C75" s="13" t="str">
        <f aca="false">IF($A75="","",IFERROR(INDEX(Maestro!$C:$C,MATCH($A75,Maestro!$A:$A,0)),"Código no existe"))</f>
        <v/>
      </c>
      <c r="D75" s="13" t="str">
        <f aca="false">IF($A75="","",IFERROR(INDEX(Maestro!$D:$D,MATCH($A75,Maestro!$A:$A,0))&amp;"",""))</f>
        <v/>
      </c>
      <c r="E75" s="13" t="str">
        <f aca="false">IF($A75="","",IFERROR(IF(INDEX(Maestro!$I:$I,MATCH($A75,Maestro!$A:$A,0))="Peso","Por libra",TRIM(INDEX(Maestro!$E:$E,MATCH($A75,Maestro!$A:$A,0))&amp;" "&amp;INDEX(Maestro!$F:$F,MATCH($A75,Maestro!$A:$A,0))&amp;" "&amp;INDEX(Maestro!$G:$G,MATCH($A75,Maestro!$A:$A,0)))),""))</f>
        <v/>
      </c>
      <c r="F75" s="13" t="str">
        <f aca="false">IF($A75="","",IFERROR(INDEX(Maestro!$H:$H,MATCH($A75,Maestro!$A:$A,0))&amp;"",""))</f>
        <v/>
      </c>
      <c r="G75" s="13" t="str">
        <f aca="false">IF($A75="","",IFERROR(INDEX(Maestro!$I:$I,MATCH($A75,Maestro!$A:$A,0))&amp;"",""))</f>
        <v/>
      </c>
      <c r="H75" s="14"/>
      <c r="I75" s="11"/>
    </row>
    <row r="76" customFormat="false" ht="15" hidden="false" customHeight="false" outlineLevel="0" collapsed="false">
      <c r="A76" s="11"/>
      <c r="B76" s="12"/>
      <c r="C76" s="13" t="str">
        <f aca="false">IF($A76="","",IFERROR(INDEX(Maestro!$C:$C,MATCH($A76,Maestro!$A:$A,0)),"Código no existe"))</f>
        <v/>
      </c>
      <c r="D76" s="13" t="str">
        <f aca="false">IF($A76="","",IFERROR(INDEX(Maestro!$D:$D,MATCH($A76,Maestro!$A:$A,0))&amp;"",""))</f>
        <v/>
      </c>
      <c r="E76" s="13" t="str">
        <f aca="false">IF($A76="","",IFERROR(IF(INDEX(Maestro!$I:$I,MATCH($A76,Maestro!$A:$A,0))="Peso","Por libra",TRIM(INDEX(Maestro!$E:$E,MATCH($A76,Maestro!$A:$A,0))&amp;" "&amp;INDEX(Maestro!$F:$F,MATCH($A76,Maestro!$A:$A,0))&amp;" "&amp;INDEX(Maestro!$G:$G,MATCH($A76,Maestro!$A:$A,0)))),""))</f>
        <v/>
      </c>
      <c r="F76" s="13" t="str">
        <f aca="false">IF($A76="","",IFERROR(INDEX(Maestro!$H:$H,MATCH($A76,Maestro!$A:$A,0))&amp;"",""))</f>
        <v/>
      </c>
      <c r="G76" s="13" t="str">
        <f aca="false">IF($A76="","",IFERROR(INDEX(Maestro!$I:$I,MATCH($A76,Maestro!$A:$A,0))&amp;"",""))</f>
        <v/>
      </c>
      <c r="H76" s="14"/>
      <c r="I76" s="11"/>
    </row>
    <row r="77" customFormat="false" ht="15" hidden="false" customHeight="false" outlineLevel="0" collapsed="false">
      <c r="A77" s="11"/>
      <c r="B77" s="12"/>
      <c r="C77" s="13" t="str">
        <f aca="false">IF($A77="","",IFERROR(INDEX(Maestro!$C:$C,MATCH($A77,Maestro!$A:$A,0)),"Código no existe"))</f>
        <v/>
      </c>
      <c r="D77" s="13" t="str">
        <f aca="false">IF($A77="","",IFERROR(INDEX(Maestro!$D:$D,MATCH($A77,Maestro!$A:$A,0))&amp;"",""))</f>
        <v/>
      </c>
      <c r="E77" s="13" t="str">
        <f aca="false">IF($A77="","",IFERROR(IF(INDEX(Maestro!$I:$I,MATCH($A77,Maestro!$A:$A,0))="Peso","Por libra",TRIM(INDEX(Maestro!$E:$E,MATCH($A77,Maestro!$A:$A,0))&amp;" "&amp;INDEX(Maestro!$F:$F,MATCH($A77,Maestro!$A:$A,0))&amp;" "&amp;INDEX(Maestro!$G:$G,MATCH($A77,Maestro!$A:$A,0)))),""))</f>
        <v/>
      </c>
      <c r="F77" s="13" t="str">
        <f aca="false">IF($A77="","",IFERROR(INDEX(Maestro!$H:$H,MATCH($A77,Maestro!$A:$A,0))&amp;"",""))</f>
        <v/>
      </c>
      <c r="G77" s="13" t="str">
        <f aca="false">IF($A77="","",IFERROR(INDEX(Maestro!$I:$I,MATCH($A77,Maestro!$A:$A,0))&amp;"",""))</f>
        <v/>
      </c>
      <c r="H77" s="14"/>
      <c r="I77" s="11"/>
    </row>
    <row r="78" customFormat="false" ht="15" hidden="false" customHeight="false" outlineLevel="0" collapsed="false">
      <c r="A78" s="11"/>
      <c r="B78" s="12"/>
      <c r="C78" s="13" t="str">
        <f aca="false">IF($A78="","",IFERROR(INDEX(Maestro!$C:$C,MATCH($A78,Maestro!$A:$A,0)),"Código no existe"))</f>
        <v/>
      </c>
      <c r="D78" s="13" t="str">
        <f aca="false">IF($A78="","",IFERROR(INDEX(Maestro!$D:$D,MATCH($A78,Maestro!$A:$A,0))&amp;"",""))</f>
        <v/>
      </c>
      <c r="E78" s="13" t="str">
        <f aca="false">IF($A78="","",IFERROR(IF(INDEX(Maestro!$I:$I,MATCH($A78,Maestro!$A:$A,0))="Peso","Por libra",TRIM(INDEX(Maestro!$E:$E,MATCH($A78,Maestro!$A:$A,0))&amp;" "&amp;INDEX(Maestro!$F:$F,MATCH($A78,Maestro!$A:$A,0))&amp;" "&amp;INDEX(Maestro!$G:$G,MATCH($A78,Maestro!$A:$A,0)))),""))</f>
        <v/>
      </c>
      <c r="F78" s="13" t="str">
        <f aca="false">IF($A78="","",IFERROR(INDEX(Maestro!$H:$H,MATCH($A78,Maestro!$A:$A,0))&amp;"",""))</f>
        <v/>
      </c>
      <c r="G78" s="13" t="str">
        <f aca="false">IF($A78="","",IFERROR(INDEX(Maestro!$I:$I,MATCH($A78,Maestro!$A:$A,0))&amp;"",""))</f>
        <v/>
      </c>
      <c r="H78" s="14"/>
      <c r="I78" s="11"/>
    </row>
    <row r="79" customFormat="false" ht="15" hidden="false" customHeight="false" outlineLevel="0" collapsed="false">
      <c r="A79" s="11"/>
      <c r="B79" s="12"/>
      <c r="C79" s="13" t="str">
        <f aca="false">IF($A79="","",IFERROR(INDEX(Maestro!$C:$C,MATCH($A79,Maestro!$A:$A,0)),"Código no existe"))</f>
        <v/>
      </c>
      <c r="D79" s="13" t="str">
        <f aca="false">IF($A79="","",IFERROR(INDEX(Maestro!$D:$D,MATCH($A79,Maestro!$A:$A,0))&amp;"",""))</f>
        <v/>
      </c>
      <c r="E79" s="13" t="str">
        <f aca="false">IF($A79="","",IFERROR(IF(INDEX(Maestro!$I:$I,MATCH($A79,Maestro!$A:$A,0))="Peso","Por libra",TRIM(INDEX(Maestro!$E:$E,MATCH($A79,Maestro!$A:$A,0))&amp;" "&amp;INDEX(Maestro!$F:$F,MATCH($A79,Maestro!$A:$A,0))&amp;" "&amp;INDEX(Maestro!$G:$G,MATCH($A79,Maestro!$A:$A,0)))),""))</f>
        <v/>
      </c>
      <c r="F79" s="13" t="str">
        <f aca="false">IF($A79="","",IFERROR(INDEX(Maestro!$H:$H,MATCH($A79,Maestro!$A:$A,0))&amp;"",""))</f>
        <v/>
      </c>
      <c r="G79" s="13" t="str">
        <f aca="false">IF($A79="","",IFERROR(INDEX(Maestro!$I:$I,MATCH($A79,Maestro!$A:$A,0))&amp;"",""))</f>
        <v/>
      </c>
      <c r="H79" s="14"/>
      <c r="I79" s="11"/>
    </row>
    <row r="80" customFormat="false" ht="15" hidden="false" customHeight="false" outlineLevel="0" collapsed="false">
      <c r="A80" s="11"/>
      <c r="B80" s="12"/>
      <c r="C80" s="13" t="str">
        <f aca="false">IF($A80="","",IFERROR(INDEX(Maestro!$C:$C,MATCH($A80,Maestro!$A:$A,0)),"Código no existe"))</f>
        <v/>
      </c>
      <c r="D80" s="13" t="str">
        <f aca="false">IF($A80="","",IFERROR(INDEX(Maestro!$D:$D,MATCH($A80,Maestro!$A:$A,0))&amp;"",""))</f>
        <v/>
      </c>
      <c r="E80" s="13" t="str">
        <f aca="false">IF($A80="","",IFERROR(IF(INDEX(Maestro!$I:$I,MATCH($A80,Maestro!$A:$A,0))="Peso","Por libra",TRIM(INDEX(Maestro!$E:$E,MATCH($A80,Maestro!$A:$A,0))&amp;" "&amp;INDEX(Maestro!$F:$F,MATCH($A80,Maestro!$A:$A,0))&amp;" "&amp;INDEX(Maestro!$G:$G,MATCH($A80,Maestro!$A:$A,0)))),""))</f>
        <v/>
      </c>
      <c r="F80" s="13" t="str">
        <f aca="false">IF($A80="","",IFERROR(INDEX(Maestro!$H:$H,MATCH($A80,Maestro!$A:$A,0))&amp;"",""))</f>
        <v/>
      </c>
      <c r="G80" s="13" t="str">
        <f aca="false">IF($A80="","",IFERROR(INDEX(Maestro!$I:$I,MATCH($A80,Maestro!$A:$A,0))&amp;"",""))</f>
        <v/>
      </c>
      <c r="H80" s="14"/>
      <c r="I80" s="11"/>
    </row>
    <row r="81" customFormat="false" ht="15" hidden="false" customHeight="false" outlineLevel="0" collapsed="false">
      <c r="A81" s="11"/>
      <c r="B81" s="12"/>
      <c r="C81" s="13" t="str">
        <f aca="false">IF($A81="","",IFERROR(INDEX(Maestro!$C:$C,MATCH($A81,Maestro!$A:$A,0)),"Código no existe"))</f>
        <v/>
      </c>
      <c r="D81" s="13" t="str">
        <f aca="false">IF($A81="","",IFERROR(INDEX(Maestro!$D:$D,MATCH($A81,Maestro!$A:$A,0))&amp;"",""))</f>
        <v/>
      </c>
      <c r="E81" s="13" t="str">
        <f aca="false">IF($A81="","",IFERROR(IF(INDEX(Maestro!$I:$I,MATCH($A81,Maestro!$A:$A,0))="Peso","Por libra",TRIM(INDEX(Maestro!$E:$E,MATCH($A81,Maestro!$A:$A,0))&amp;" "&amp;INDEX(Maestro!$F:$F,MATCH($A81,Maestro!$A:$A,0))&amp;" "&amp;INDEX(Maestro!$G:$G,MATCH($A81,Maestro!$A:$A,0)))),""))</f>
        <v/>
      </c>
      <c r="F81" s="13" t="str">
        <f aca="false">IF($A81="","",IFERROR(INDEX(Maestro!$H:$H,MATCH($A81,Maestro!$A:$A,0))&amp;"",""))</f>
        <v/>
      </c>
      <c r="G81" s="13" t="str">
        <f aca="false">IF($A81="","",IFERROR(INDEX(Maestro!$I:$I,MATCH($A81,Maestro!$A:$A,0))&amp;"",""))</f>
        <v/>
      </c>
      <c r="H81" s="14"/>
      <c r="I81" s="11"/>
    </row>
    <row r="82" customFormat="false" ht="15" hidden="false" customHeight="false" outlineLevel="0" collapsed="false">
      <c r="A82" s="11"/>
      <c r="B82" s="12"/>
      <c r="C82" s="13" t="str">
        <f aca="false">IF($A82="","",IFERROR(INDEX(Maestro!$C:$C,MATCH($A82,Maestro!$A:$A,0)),"Código no existe"))</f>
        <v/>
      </c>
      <c r="D82" s="13" t="str">
        <f aca="false">IF($A82="","",IFERROR(INDEX(Maestro!$D:$D,MATCH($A82,Maestro!$A:$A,0))&amp;"",""))</f>
        <v/>
      </c>
      <c r="E82" s="13" t="str">
        <f aca="false">IF($A82="","",IFERROR(IF(INDEX(Maestro!$I:$I,MATCH($A82,Maestro!$A:$A,0))="Peso","Por libra",TRIM(INDEX(Maestro!$E:$E,MATCH($A82,Maestro!$A:$A,0))&amp;" "&amp;INDEX(Maestro!$F:$F,MATCH($A82,Maestro!$A:$A,0))&amp;" "&amp;INDEX(Maestro!$G:$G,MATCH($A82,Maestro!$A:$A,0)))),""))</f>
        <v/>
      </c>
      <c r="F82" s="13" t="str">
        <f aca="false">IF($A82="","",IFERROR(INDEX(Maestro!$H:$H,MATCH($A82,Maestro!$A:$A,0))&amp;"",""))</f>
        <v/>
      </c>
      <c r="G82" s="13" t="str">
        <f aca="false">IF($A82="","",IFERROR(INDEX(Maestro!$I:$I,MATCH($A82,Maestro!$A:$A,0))&amp;"",""))</f>
        <v/>
      </c>
      <c r="H82" s="14"/>
      <c r="I82" s="11"/>
    </row>
    <row r="83" customFormat="false" ht="15" hidden="false" customHeight="false" outlineLevel="0" collapsed="false">
      <c r="A83" s="11"/>
      <c r="B83" s="12"/>
      <c r="C83" s="13" t="str">
        <f aca="false">IF($A83="","",IFERROR(INDEX(Maestro!$C:$C,MATCH($A83,Maestro!$A:$A,0)),"Código no existe"))</f>
        <v/>
      </c>
      <c r="D83" s="13" t="str">
        <f aca="false">IF($A83="","",IFERROR(INDEX(Maestro!$D:$D,MATCH($A83,Maestro!$A:$A,0))&amp;"",""))</f>
        <v/>
      </c>
      <c r="E83" s="13" t="str">
        <f aca="false">IF($A83="","",IFERROR(IF(INDEX(Maestro!$I:$I,MATCH($A83,Maestro!$A:$A,0))="Peso","Por libra",TRIM(INDEX(Maestro!$E:$E,MATCH($A83,Maestro!$A:$A,0))&amp;" "&amp;INDEX(Maestro!$F:$F,MATCH($A83,Maestro!$A:$A,0))&amp;" "&amp;INDEX(Maestro!$G:$G,MATCH($A83,Maestro!$A:$A,0)))),""))</f>
        <v/>
      </c>
      <c r="F83" s="13" t="str">
        <f aca="false">IF($A83="","",IFERROR(INDEX(Maestro!$H:$H,MATCH($A83,Maestro!$A:$A,0))&amp;"",""))</f>
        <v/>
      </c>
      <c r="G83" s="13" t="str">
        <f aca="false">IF($A83="","",IFERROR(INDEX(Maestro!$I:$I,MATCH($A83,Maestro!$A:$A,0))&amp;"",""))</f>
        <v/>
      </c>
      <c r="H83" s="14"/>
      <c r="I83" s="11"/>
    </row>
    <row r="84" customFormat="false" ht="15" hidden="false" customHeight="false" outlineLevel="0" collapsed="false">
      <c r="A84" s="11"/>
      <c r="B84" s="12"/>
      <c r="C84" s="13" t="str">
        <f aca="false">IF($A84="","",IFERROR(INDEX(Maestro!$C:$C,MATCH($A84,Maestro!$A:$A,0)),"Código no existe"))</f>
        <v/>
      </c>
      <c r="D84" s="13" t="str">
        <f aca="false">IF($A84="","",IFERROR(INDEX(Maestro!$D:$D,MATCH($A84,Maestro!$A:$A,0))&amp;"",""))</f>
        <v/>
      </c>
      <c r="E84" s="13" t="str">
        <f aca="false">IF($A84="","",IFERROR(IF(INDEX(Maestro!$I:$I,MATCH($A84,Maestro!$A:$A,0))="Peso","Por libra",TRIM(INDEX(Maestro!$E:$E,MATCH($A84,Maestro!$A:$A,0))&amp;" "&amp;INDEX(Maestro!$F:$F,MATCH($A84,Maestro!$A:$A,0))&amp;" "&amp;INDEX(Maestro!$G:$G,MATCH($A84,Maestro!$A:$A,0)))),""))</f>
        <v/>
      </c>
      <c r="F84" s="13" t="str">
        <f aca="false">IF($A84="","",IFERROR(INDEX(Maestro!$H:$H,MATCH($A84,Maestro!$A:$A,0))&amp;"",""))</f>
        <v/>
      </c>
      <c r="G84" s="13" t="str">
        <f aca="false">IF($A84="","",IFERROR(INDEX(Maestro!$I:$I,MATCH($A84,Maestro!$A:$A,0))&amp;"",""))</f>
        <v/>
      </c>
      <c r="H84" s="14"/>
      <c r="I84" s="11"/>
    </row>
    <row r="85" customFormat="false" ht="15" hidden="false" customHeight="false" outlineLevel="0" collapsed="false">
      <c r="A85" s="11"/>
      <c r="B85" s="12"/>
      <c r="C85" s="13" t="str">
        <f aca="false">IF($A85="","",IFERROR(INDEX(Maestro!$C:$C,MATCH($A85,Maestro!$A:$A,0)),"Código no existe"))</f>
        <v/>
      </c>
      <c r="D85" s="13" t="str">
        <f aca="false">IF($A85="","",IFERROR(INDEX(Maestro!$D:$D,MATCH($A85,Maestro!$A:$A,0))&amp;"",""))</f>
        <v/>
      </c>
      <c r="E85" s="13" t="str">
        <f aca="false">IF($A85="","",IFERROR(IF(INDEX(Maestro!$I:$I,MATCH($A85,Maestro!$A:$A,0))="Peso","Por libra",TRIM(INDEX(Maestro!$E:$E,MATCH($A85,Maestro!$A:$A,0))&amp;" "&amp;INDEX(Maestro!$F:$F,MATCH($A85,Maestro!$A:$A,0))&amp;" "&amp;INDEX(Maestro!$G:$G,MATCH($A85,Maestro!$A:$A,0)))),""))</f>
        <v/>
      </c>
      <c r="F85" s="13" t="str">
        <f aca="false">IF($A85="","",IFERROR(INDEX(Maestro!$H:$H,MATCH($A85,Maestro!$A:$A,0))&amp;"",""))</f>
        <v/>
      </c>
      <c r="G85" s="13" t="str">
        <f aca="false">IF($A85="","",IFERROR(INDEX(Maestro!$I:$I,MATCH($A85,Maestro!$A:$A,0))&amp;"",""))</f>
        <v/>
      </c>
      <c r="H85" s="14"/>
      <c r="I85" s="11"/>
    </row>
    <row r="86" customFormat="false" ht="15" hidden="false" customHeight="false" outlineLevel="0" collapsed="false">
      <c r="A86" s="11"/>
      <c r="B86" s="12"/>
      <c r="C86" s="13" t="str">
        <f aca="false">IF($A86="","",IFERROR(INDEX(Maestro!$C:$C,MATCH($A86,Maestro!$A:$A,0)),"Código no existe"))</f>
        <v/>
      </c>
      <c r="D86" s="13" t="str">
        <f aca="false">IF($A86="","",IFERROR(INDEX(Maestro!$D:$D,MATCH($A86,Maestro!$A:$A,0))&amp;"",""))</f>
        <v/>
      </c>
      <c r="E86" s="13" t="str">
        <f aca="false">IF($A86="","",IFERROR(IF(INDEX(Maestro!$I:$I,MATCH($A86,Maestro!$A:$A,0))="Peso","Por libra",TRIM(INDEX(Maestro!$E:$E,MATCH($A86,Maestro!$A:$A,0))&amp;" "&amp;INDEX(Maestro!$F:$F,MATCH($A86,Maestro!$A:$A,0))&amp;" "&amp;INDEX(Maestro!$G:$G,MATCH($A86,Maestro!$A:$A,0)))),""))</f>
        <v/>
      </c>
      <c r="F86" s="13" t="str">
        <f aca="false">IF($A86="","",IFERROR(INDEX(Maestro!$H:$H,MATCH($A86,Maestro!$A:$A,0))&amp;"",""))</f>
        <v/>
      </c>
      <c r="G86" s="13" t="str">
        <f aca="false">IF($A86="","",IFERROR(INDEX(Maestro!$I:$I,MATCH($A86,Maestro!$A:$A,0))&amp;"",""))</f>
        <v/>
      </c>
      <c r="H86" s="14"/>
      <c r="I86" s="11"/>
    </row>
    <row r="87" customFormat="false" ht="15" hidden="false" customHeight="false" outlineLevel="0" collapsed="false">
      <c r="A87" s="11"/>
      <c r="B87" s="12"/>
      <c r="C87" s="13" t="str">
        <f aca="false">IF($A87="","",IFERROR(INDEX(Maestro!$C:$C,MATCH($A87,Maestro!$A:$A,0)),"Código no existe"))</f>
        <v/>
      </c>
      <c r="D87" s="13" t="str">
        <f aca="false">IF($A87="","",IFERROR(INDEX(Maestro!$D:$D,MATCH($A87,Maestro!$A:$A,0))&amp;"",""))</f>
        <v/>
      </c>
      <c r="E87" s="13" t="str">
        <f aca="false">IF($A87="","",IFERROR(IF(INDEX(Maestro!$I:$I,MATCH($A87,Maestro!$A:$A,0))="Peso","Por libra",TRIM(INDEX(Maestro!$E:$E,MATCH($A87,Maestro!$A:$A,0))&amp;" "&amp;INDEX(Maestro!$F:$F,MATCH($A87,Maestro!$A:$A,0))&amp;" "&amp;INDEX(Maestro!$G:$G,MATCH($A87,Maestro!$A:$A,0)))),""))</f>
        <v/>
      </c>
      <c r="F87" s="13" t="str">
        <f aca="false">IF($A87="","",IFERROR(INDEX(Maestro!$H:$H,MATCH($A87,Maestro!$A:$A,0))&amp;"",""))</f>
        <v/>
      </c>
      <c r="G87" s="13" t="str">
        <f aca="false">IF($A87="","",IFERROR(INDEX(Maestro!$I:$I,MATCH($A87,Maestro!$A:$A,0))&amp;"",""))</f>
        <v/>
      </c>
      <c r="H87" s="14"/>
      <c r="I87" s="11"/>
    </row>
    <row r="88" customFormat="false" ht="15" hidden="false" customHeight="false" outlineLevel="0" collapsed="false">
      <c r="A88" s="11"/>
      <c r="B88" s="12"/>
      <c r="C88" s="13" t="str">
        <f aca="false">IF($A88="","",IFERROR(INDEX(Maestro!$C:$C,MATCH($A88,Maestro!$A:$A,0)),"Código no existe"))</f>
        <v/>
      </c>
      <c r="D88" s="13" t="str">
        <f aca="false">IF($A88="","",IFERROR(INDEX(Maestro!$D:$D,MATCH($A88,Maestro!$A:$A,0))&amp;"",""))</f>
        <v/>
      </c>
      <c r="E88" s="13" t="str">
        <f aca="false">IF($A88="","",IFERROR(IF(INDEX(Maestro!$I:$I,MATCH($A88,Maestro!$A:$A,0))="Peso","Por libra",TRIM(INDEX(Maestro!$E:$E,MATCH($A88,Maestro!$A:$A,0))&amp;" "&amp;INDEX(Maestro!$F:$F,MATCH($A88,Maestro!$A:$A,0))&amp;" "&amp;INDEX(Maestro!$G:$G,MATCH($A88,Maestro!$A:$A,0)))),""))</f>
        <v/>
      </c>
      <c r="F88" s="13" t="str">
        <f aca="false">IF($A88="","",IFERROR(INDEX(Maestro!$H:$H,MATCH($A88,Maestro!$A:$A,0))&amp;"",""))</f>
        <v/>
      </c>
      <c r="G88" s="13" t="str">
        <f aca="false">IF($A88="","",IFERROR(INDEX(Maestro!$I:$I,MATCH($A88,Maestro!$A:$A,0))&amp;"",""))</f>
        <v/>
      </c>
      <c r="H88" s="14"/>
      <c r="I88" s="11"/>
    </row>
    <row r="89" customFormat="false" ht="15" hidden="false" customHeight="false" outlineLevel="0" collapsed="false">
      <c r="A89" s="11"/>
      <c r="B89" s="12"/>
      <c r="C89" s="13" t="str">
        <f aca="false">IF($A89="","",IFERROR(INDEX(Maestro!$C:$C,MATCH($A89,Maestro!$A:$A,0)),"Código no existe"))</f>
        <v/>
      </c>
      <c r="D89" s="13" t="str">
        <f aca="false">IF($A89="","",IFERROR(INDEX(Maestro!$D:$D,MATCH($A89,Maestro!$A:$A,0))&amp;"",""))</f>
        <v/>
      </c>
      <c r="E89" s="13" t="str">
        <f aca="false">IF($A89="","",IFERROR(IF(INDEX(Maestro!$I:$I,MATCH($A89,Maestro!$A:$A,0))="Peso","Por libra",TRIM(INDEX(Maestro!$E:$E,MATCH($A89,Maestro!$A:$A,0))&amp;" "&amp;INDEX(Maestro!$F:$F,MATCH($A89,Maestro!$A:$A,0))&amp;" "&amp;INDEX(Maestro!$G:$G,MATCH($A89,Maestro!$A:$A,0)))),""))</f>
        <v/>
      </c>
      <c r="F89" s="13" t="str">
        <f aca="false">IF($A89="","",IFERROR(INDEX(Maestro!$H:$H,MATCH($A89,Maestro!$A:$A,0))&amp;"",""))</f>
        <v/>
      </c>
      <c r="G89" s="13" t="str">
        <f aca="false">IF($A89="","",IFERROR(INDEX(Maestro!$I:$I,MATCH($A89,Maestro!$A:$A,0))&amp;"",""))</f>
        <v/>
      </c>
      <c r="H89" s="14"/>
      <c r="I89" s="11"/>
    </row>
    <row r="90" customFormat="false" ht="15" hidden="false" customHeight="false" outlineLevel="0" collapsed="false">
      <c r="A90" s="11"/>
      <c r="B90" s="12"/>
      <c r="C90" s="13" t="str">
        <f aca="false">IF($A90="","",IFERROR(INDEX(Maestro!$C:$C,MATCH($A90,Maestro!$A:$A,0)),"Código no existe"))</f>
        <v/>
      </c>
      <c r="D90" s="13" t="str">
        <f aca="false">IF($A90="","",IFERROR(INDEX(Maestro!$D:$D,MATCH($A90,Maestro!$A:$A,0))&amp;"",""))</f>
        <v/>
      </c>
      <c r="E90" s="13" t="str">
        <f aca="false">IF($A90="","",IFERROR(IF(INDEX(Maestro!$I:$I,MATCH($A90,Maestro!$A:$A,0))="Peso","Por libra",TRIM(INDEX(Maestro!$E:$E,MATCH($A90,Maestro!$A:$A,0))&amp;" "&amp;INDEX(Maestro!$F:$F,MATCH($A90,Maestro!$A:$A,0))&amp;" "&amp;INDEX(Maestro!$G:$G,MATCH($A90,Maestro!$A:$A,0)))),""))</f>
        <v/>
      </c>
      <c r="F90" s="13" t="str">
        <f aca="false">IF($A90="","",IFERROR(INDEX(Maestro!$H:$H,MATCH($A90,Maestro!$A:$A,0))&amp;"",""))</f>
        <v/>
      </c>
      <c r="G90" s="13" t="str">
        <f aca="false">IF($A90="","",IFERROR(INDEX(Maestro!$I:$I,MATCH($A90,Maestro!$A:$A,0))&amp;"",""))</f>
        <v/>
      </c>
      <c r="H90" s="14"/>
      <c r="I90" s="11"/>
    </row>
    <row r="91" customFormat="false" ht="15" hidden="false" customHeight="false" outlineLevel="0" collapsed="false">
      <c r="A91" s="11"/>
      <c r="B91" s="12"/>
      <c r="C91" s="13" t="str">
        <f aca="false">IF($A91="","",IFERROR(INDEX(Maestro!$C:$C,MATCH($A91,Maestro!$A:$A,0)),"Código no existe"))</f>
        <v/>
      </c>
      <c r="D91" s="13" t="str">
        <f aca="false">IF($A91="","",IFERROR(INDEX(Maestro!$D:$D,MATCH($A91,Maestro!$A:$A,0))&amp;"",""))</f>
        <v/>
      </c>
      <c r="E91" s="13" t="str">
        <f aca="false">IF($A91="","",IFERROR(IF(INDEX(Maestro!$I:$I,MATCH($A91,Maestro!$A:$A,0))="Peso","Por libra",TRIM(INDEX(Maestro!$E:$E,MATCH($A91,Maestro!$A:$A,0))&amp;" "&amp;INDEX(Maestro!$F:$F,MATCH($A91,Maestro!$A:$A,0))&amp;" "&amp;INDEX(Maestro!$G:$G,MATCH($A91,Maestro!$A:$A,0)))),""))</f>
        <v/>
      </c>
      <c r="F91" s="13" t="str">
        <f aca="false">IF($A91="","",IFERROR(INDEX(Maestro!$H:$H,MATCH($A91,Maestro!$A:$A,0))&amp;"",""))</f>
        <v/>
      </c>
      <c r="G91" s="13" t="str">
        <f aca="false">IF($A91="","",IFERROR(INDEX(Maestro!$I:$I,MATCH($A91,Maestro!$A:$A,0))&amp;"",""))</f>
        <v/>
      </c>
      <c r="H91" s="14"/>
      <c r="I91" s="11"/>
    </row>
    <row r="92" customFormat="false" ht="15" hidden="false" customHeight="false" outlineLevel="0" collapsed="false">
      <c r="A92" s="11"/>
      <c r="B92" s="12"/>
      <c r="C92" s="13" t="str">
        <f aca="false">IF($A92="","",IFERROR(INDEX(Maestro!$C:$C,MATCH($A92,Maestro!$A:$A,0)),"Código no existe"))</f>
        <v/>
      </c>
      <c r="D92" s="13" t="str">
        <f aca="false">IF($A92="","",IFERROR(INDEX(Maestro!$D:$D,MATCH($A92,Maestro!$A:$A,0))&amp;"",""))</f>
        <v/>
      </c>
      <c r="E92" s="13" t="str">
        <f aca="false">IF($A92="","",IFERROR(IF(INDEX(Maestro!$I:$I,MATCH($A92,Maestro!$A:$A,0))="Peso","Por libra",TRIM(INDEX(Maestro!$E:$E,MATCH($A92,Maestro!$A:$A,0))&amp;" "&amp;INDEX(Maestro!$F:$F,MATCH($A92,Maestro!$A:$A,0))&amp;" "&amp;INDEX(Maestro!$G:$G,MATCH($A92,Maestro!$A:$A,0)))),""))</f>
        <v/>
      </c>
      <c r="F92" s="13" t="str">
        <f aca="false">IF($A92="","",IFERROR(INDEX(Maestro!$H:$H,MATCH($A92,Maestro!$A:$A,0))&amp;"",""))</f>
        <v/>
      </c>
      <c r="G92" s="13" t="str">
        <f aca="false">IF($A92="","",IFERROR(INDEX(Maestro!$I:$I,MATCH($A92,Maestro!$A:$A,0))&amp;"",""))</f>
        <v/>
      </c>
      <c r="H92" s="14"/>
      <c r="I92" s="11"/>
    </row>
    <row r="93" customFormat="false" ht="15" hidden="false" customHeight="false" outlineLevel="0" collapsed="false">
      <c r="A93" s="11"/>
      <c r="B93" s="12"/>
      <c r="C93" s="13" t="str">
        <f aca="false">IF($A93="","",IFERROR(INDEX(Maestro!$C:$C,MATCH($A93,Maestro!$A:$A,0)),"Código no existe"))</f>
        <v/>
      </c>
      <c r="D93" s="13" t="str">
        <f aca="false">IF($A93="","",IFERROR(INDEX(Maestro!$D:$D,MATCH($A93,Maestro!$A:$A,0))&amp;"",""))</f>
        <v/>
      </c>
      <c r="E93" s="13" t="str">
        <f aca="false">IF($A93="","",IFERROR(IF(INDEX(Maestro!$I:$I,MATCH($A93,Maestro!$A:$A,0))="Peso","Por libra",TRIM(INDEX(Maestro!$E:$E,MATCH($A93,Maestro!$A:$A,0))&amp;" "&amp;INDEX(Maestro!$F:$F,MATCH($A93,Maestro!$A:$A,0))&amp;" "&amp;INDEX(Maestro!$G:$G,MATCH($A93,Maestro!$A:$A,0)))),""))</f>
        <v/>
      </c>
      <c r="F93" s="13" t="str">
        <f aca="false">IF($A93="","",IFERROR(INDEX(Maestro!$H:$H,MATCH($A93,Maestro!$A:$A,0))&amp;"",""))</f>
        <v/>
      </c>
      <c r="G93" s="13" t="str">
        <f aca="false">IF($A93="","",IFERROR(INDEX(Maestro!$I:$I,MATCH($A93,Maestro!$A:$A,0))&amp;"",""))</f>
        <v/>
      </c>
      <c r="H93" s="14"/>
      <c r="I93" s="11"/>
    </row>
    <row r="94" customFormat="false" ht="15" hidden="false" customHeight="false" outlineLevel="0" collapsed="false">
      <c r="A94" s="11"/>
      <c r="B94" s="12"/>
      <c r="C94" s="13" t="str">
        <f aca="false">IF($A94="","",IFERROR(INDEX(Maestro!$C:$C,MATCH($A94,Maestro!$A:$A,0)),"Código no existe"))</f>
        <v/>
      </c>
      <c r="D94" s="13" t="str">
        <f aca="false">IF($A94="","",IFERROR(INDEX(Maestro!$D:$D,MATCH($A94,Maestro!$A:$A,0))&amp;"",""))</f>
        <v/>
      </c>
      <c r="E94" s="13" t="str">
        <f aca="false">IF($A94="","",IFERROR(IF(INDEX(Maestro!$I:$I,MATCH($A94,Maestro!$A:$A,0))="Peso","Por libra",TRIM(INDEX(Maestro!$E:$E,MATCH($A94,Maestro!$A:$A,0))&amp;" "&amp;INDEX(Maestro!$F:$F,MATCH($A94,Maestro!$A:$A,0))&amp;" "&amp;INDEX(Maestro!$G:$G,MATCH($A94,Maestro!$A:$A,0)))),""))</f>
        <v/>
      </c>
      <c r="F94" s="13" t="str">
        <f aca="false">IF($A94="","",IFERROR(INDEX(Maestro!$H:$H,MATCH($A94,Maestro!$A:$A,0))&amp;"",""))</f>
        <v/>
      </c>
      <c r="G94" s="13" t="str">
        <f aca="false">IF($A94="","",IFERROR(INDEX(Maestro!$I:$I,MATCH($A94,Maestro!$A:$A,0))&amp;"",""))</f>
        <v/>
      </c>
      <c r="H94" s="14"/>
      <c r="I94" s="11"/>
    </row>
    <row r="95" customFormat="false" ht="15" hidden="false" customHeight="false" outlineLevel="0" collapsed="false">
      <c r="A95" s="11"/>
      <c r="B95" s="12"/>
      <c r="C95" s="13" t="str">
        <f aca="false">IF($A95="","",IFERROR(INDEX(Maestro!$C:$C,MATCH($A95,Maestro!$A:$A,0)),"Código no existe"))</f>
        <v/>
      </c>
      <c r="D95" s="13" t="str">
        <f aca="false">IF($A95="","",IFERROR(INDEX(Maestro!$D:$D,MATCH($A95,Maestro!$A:$A,0))&amp;"",""))</f>
        <v/>
      </c>
      <c r="E95" s="13" t="str">
        <f aca="false">IF($A95="","",IFERROR(IF(INDEX(Maestro!$I:$I,MATCH($A95,Maestro!$A:$A,0))="Peso","Por libra",TRIM(INDEX(Maestro!$E:$E,MATCH($A95,Maestro!$A:$A,0))&amp;" "&amp;INDEX(Maestro!$F:$F,MATCH($A95,Maestro!$A:$A,0))&amp;" "&amp;INDEX(Maestro!$G:$G,MATCH($A95,Maestro!$A:$A,0)))),""))</f>
        <v/>
      </c>
      <c r="F95" s="13" t="str">
        <f aca="false">IF($A95="","",IFERROR(INDEX(Maestro!$H:$H,MATCH($A95,Maestro!$A:$A,0))&amp;"",""))</f>
        <v/>
      </c>
      <c r="G95" s="13" t="str">
        <f aca="false">IF($A95="","",IFERROR(INDEX(Maestro!$I:$I,MATCH($A95,Maestro!$A:$A,0))&amp;"",""))</f>
        <v/>
      </c>
      <c r="H95" s="14"/>
      <c r="I95" s="11"/>
    </row>
    <row r="96" customFormat="false" ht="15" hidden="false" customHeight="false" outlineLevel="0" collapsed="false">
      <c r="A96" s="11"/>
      <c r="B96" s="12"/>
      <c r="C96" s="13" t="str">
        <f aca="false">IF($A96="","",IFERROR(INDEX(Maestro!$C:$C,MATCH($A96,Maestro!$A:$A,0)),"Código no existe"))</f>
        <v/>
      </c>
      <c r="D96" s="13" t="str">
        <f aca="false">IF($A96="","",IFERROR(INDEX(Maestro!$D:$D,MATCH($A96,Maestro!$A:$A,0))&amp;"",""))</f>
        <v/>
      </c>
      <c r="E96" s="13" t="str">
        <f aca="false">IF($A96="","",IFERROR(IF(INDEX(Maestro!$I:$I,MATCH($A96,Maestro!$A:$A,0))="Peso","Por libra",TRIM(INDEX(Maestro!$E:$E,MATCH($A96,Maestro!$A:$A,0))&amp;" "&amp;INDEX(Maestro!$F:$F,MATCH($A96,Maestro!$A:$A,0))&amp;" "&amp;INDEX(Maestro!$G:$G,MATCH($A96,Maestro!$A:$A,0)))),""))</f>
        <v/>
      </c>
      <c r="F96" s="13" t="str">
        <f aca="false">IF($A96="","",IFERROR(INDEX(Maestro!$H:$H,MATCH($A96,Maestro!$A:$A,0))&amp;"",""))</f>
        <v/>
      </c>
      <c r="G96" s="13" t="str">
        <f aca="false">IF($A96="","",IFERROR(INDEX(Maestro!$I:$I,MATCH($A96,Maestro!$A:$A,0))&amp;"",""))</f>
        <v/>
      </c>
      <c r="H96" s="14"/>
      <c r="I96" s="11"/>
    </row>
    <row r="97" customFormat="false" ht="15" hidden="false" customHeight="false" outlineLevel="0" collapsed="false">
      <c r="A97" s="11"/>
      <c r="B97" s="12"/>
      <c r="C97" s="13" t="str">
        <f aca="false">IF($A97="","",IFERROR(INDEX(Maestro!$C:$C,MATCH($A97,Maestro!$A:$A,0)),"Código no existe"))</f>
        <v/>
      </c>
      <c r="D97" s="13" t="str">
        <f aca="false">IF($A97="","",IFERROR(INDEX(Maestro!$D:$D,MATCH($A97,Maestro!$A:$A,0))&amp;"",""))</f>
        <v/>
      </c>
      <c r="E97" s="13" t="str">
        <f aca="false">IF($A97="","",IFERROR(IF(INDEX(Maestro!$I:$I,MATCH($A97,Maestro!$A:$A,0))="Peso","Por libra",TRIM(INDEX(Maestro!$E:$E,MATCH($A97,Maestro!$A:$A,0))&amp;" "&amp;INDEX(Maestro!$F:$F,MATCH($A97,Maestro!$A:$A,0))&amp;" "&amp;INDEX(Maestro!$G:$G,MATCH($A97,Maestro!$A:$A,0)))),""))</f>
        <v/>
      </c>
      <c r="F97" s="13" t="str">
        <f aca="false">IF($A97="","",IFERROR(INDEX(Maestro!$H:$H,MATCH($A97,Maestro!$A:$A,0))&amp;"",""))</f>
        <v/>
      </c>
      <c r="G97" s="13" t="str">
        <f aca="false">IF($A97="","",IFERROR(INDEX(Maestro!$I:$I,MATCH($A97,Maestro!$A:$A,0))&amp;"",""))</f>
        <v/>
      </c>
      <c r="H97" s="14"/>
      <c r="I97" s="11"/>
    </row>
    <row r="98" customFormat="false" ht="15" hidden="false" customHeight="false" outlineLevel="0" collapsed="false">
      <c r="A98" s="11"/>
      <c r="B98" s="12"/>
      <c r="C98" s="13" t="str">
        <f aca="false">IF($A98="","",IFERROR(INDEX(Maestro!$C:$C,MATCH($A98,Maestro!$A:$A,0)),"Código no existe"))</f>
        <v/>
      </c>
      <c r="D98" s="13" t="str">
        <f aca="false">IF($A98="","",IFERROR(INDEX(Maestro!$D:$D,MATCH($A98,Maestro!$A:$A,0))&amp;"",""))</f>
        <v/>
      </c>
      <c r="E98" s="13" t="str">
        <f aca="false">IF($A98="","",IFERROR(IF(INDEX(Maestro!$I:$I,MATCH($A98,Maestro!$A:$A,0))="Peso","Por libra",TRIM(INDEX(Maestro!$E:$E,MATCH($A98,Maestro!$A:$A,0))&amp;" "&amp;INDEX(Maestro!$F:$F,MATCH($A98,Maestro!$A:$A,0))&amp;" "&amp;INDEX(Maestro!$G:$G,MATCH($A98,Maestro!$A:$A,0)))),""))</f>
        <v/>
      </c>
      <c r="F98" s="13" t="str">
        <f aca="false">IF($A98="","",IFERROR(INDEX(Maestro!$H:$H,MATCH($A98,Maestro!$A:$A,0))&amp;"",""))</f>
        <v/>
      </c>
      <c r="G98" s="13" t="str">
        <f aca="false">IF($A98="","",IFERROR(INDEX(Maestro!$I:$I,MATCH($A98,Maestro!$A:$A,0))&amp;"",""))</f>
        <v/>
      </c>
      <c r="H98" s="14"/>
      <c r="I98" s="11"/>
    </row>
    <row r="99" customFormat="false" ht="15" hidden="false" customHeight="false" outlineLevel="0" collapsed="false">
      <c r="A99" s="11"/>
      <c r="B99" s="12"/>
      <c r="C99" s="13" t="str">
        <f aca="false">IF($A99="","",IFERROR(INDEX(Maestro!$C:$C,MATCH($A99,Maestro!$A:$A,0)),"Código no existe"))</f>
        <v/>
      </c>
      <c r="D99" s="13" t="str">
        <f aca="false">IF($A99="","",IFERROR(INDEX(Maestro!$D:$D,MATCH($A99,Maestro!$A:$A,0))&amp;"",""))</f>
        <v/>
      </c>
      <c r="E99" s="13" t="str">
        <f aca="false">IF($A99="","",IFERROR(IF(INDEX(Maestro!$I:$I,MATCH($A99,Maestro!$A:$A,0))="Peso","Por libra",TRIM(INDEX(Maestro!$E:$E,MATCH($A99,Maestro!$A:$A,0))&amp;" "&amp;INDEX(Maestro!$F:$F,MATCH($A99,Maestro!$A:$A,0))&amp;" "&amp;INDEX(Maestro!$G:$G,MATCH($A99,Maestro!$A:$A,0)))),""))</f>
        <v/>
      </c>
      <c r="F99" s="13" t="str">
        <f aca="false">IF($A99="","",IFERROR(INDEX(Maestro!$H:$H,MATCH($A99,Maestro!$A:$A,0))&amp;"",""))</f>
        <v/>
      </c>
      <c r="G99" s="13" t="str">
        <f aca="false">IF($A99="","",IFERROR(INDEX(Maestro!$I:$I,MATCH($A99,Maestro!$A:$A,0))&amp;"",""))</f>
        <v/>
      </c>
      <c r="H99" s="14"/>
      <c r="I99" s="11"/>
    </row>
    <row r="100" customFormat="false" ht="15" hidden="false" customHeight="false" outlineLevel="0" collapsed="false">
      <c r="A100" s="11"/>
      <c r="B100" s="12"/>
      <c r="C100" s="13" t="str">
        <f aca="false">IF($A100="","",IFERROR(INDEX(Maestro!$C:$C,MATCH($A100,Maestro!$A:$A,0)),"Código no existe"))</f>
        <v/>
      </c>
      <c r="D100" s="13" t="str">
        <f aca="false">IF($A100="","",IFERROR(INDEX(Maestro!$D:$D,MATCH($A100,Maestro!$A:$A,0))&amp;"",""))</f>
        <v/>
      </c>
      <c r="E100" s="13" t="str">
        <f aca="false">IF($A100="","",IFERROR(IF(INDEX(Maestro!$I:$I,MATCH($A100,Maestro!$A:$A,0))="Peso","Por libra",TRIM(INDEX(Maestro!$E:$E,MATCH($A100,Maestro!$A:$A,0))&amp;" "&amp;INDEX(Maestro!$F:$F,MATCH($A100,Maestro!$A:$A,0))&amp;" "&amp;INDEX(Maestro!$G:$G,MATCH($A100,Maestro!$A:$A,0)))),""))</f>
        <v/>
      </c>
      <c r="F100" s="13" t="str">
        <f aca="false">IF($A100="","",IFERROR(INDEX(Maestro!$H:$H,MATCH($A100,Maestro!$A:$A,0))&amp;"",""))</f>
        <v/>
      </c>
      <c r="G100" s="13" t="str">
        <f aca="false">IF($A100="","",IFERROR(INDEX(Maestro!$I:$I,MATCH($A100,Maestro!$A:$A,0))&amp;"",""))</f>
        <v/>
      </c>
      <c r="H100" s="14"/>
      <c r="I100" s="11"/>
    </row>
    <row r="101" customFormat="false" ht="15" hidden="false" customHeight="false" outlineLevel="0" collapsed="false">
      <c r="A101" s="11"/>
      <c r="B101" s="12"/>
      <c r="C101" s="13" t="str">
        <f aca="false">IF($A101="","",IFERROR(INDEX(Maestro!$C:$C,MATCH($A101,Maestro!$A:$A,0)),"Código no existe"))</f>
        <v/>
      </c>
      <c r="D101" s="13" t="str">
        <f aca="false">IF($A101="","",IFERROR(INDEX(Maestro!$D:$D,MATCH($A101,Maestro!$A:$A,0))&amp;"",""))</f>
        <v/>
      </c>
      <c r="E101" s="13" t="str">
        <f aca="false">IF($A101="","",IFERROR(IF(INDEX(Maestro!$I:$I,MATCH($A101,Maestro!$A:$A,0))="Peso","Por libra",TRIM(INDEX(Maestro!$E:$E,MATCH($A101,Maestro!$A:$A,0))&amp;" "&amp;INDEX(Maestro!$F:$F,MATCH($A101,Maestro!$A:$A,0))&amp;" "&amp;INDEX(Maestro!$G:$G,MATCH($A101,Maestro!$A:$A,0)))),""))</f>
        <v/>
      </c>
      <c r="F101" s="13" t="str">
        <f aca="false">IF($A101="","",IFERROR(INDEX(Maestro!$H:$H,MATCH($A101,Maestro!$A:$A,0))&amp;"",""))</f>
        <v/>
      </c>
      <c r="G101" s="13" t="str">
        <f aca="false">IF($A101="","",IFERROR(INDEX(Maestro!$I:$I,MATCH($A101,Maestro!$A:$A,0))&amp;"",""))</f>
        <v/>
      </c>
      <c r="H101" s="14"/>
      <c r="I101" s="11"/>
    </row>
    <row r="102" customFormat="false" ht="15" hidden="false" customHeight="false" outlineLevel="0" collapsed="false">
      <c r="A102" s="11"/>
      <c r="B102" s="12"/>
      <c r="C102" s="13" t="str">
        <f aca="false">IF($A102="","",IFERROR(INDEX(Maestro!$C:$C,MATCH($A102,Maestro!$A:$A,0)),"Código no existe"))</f>
        <v/>
      </c>
      <c r="D102" s="13" t="str">
        <f aca="false">IF($A102="","",IFERROR(INDEX(Maestro!$D:$D,MATCH($A102,Maestro!$A:$A,0))&amp;"",""))</f>
        <v/>
      </c>
      <c r="E102" s="13" t="str">
        <f aca="false">IF($A102="","",IFERROR(IF(INDEX(Maestro!$I:$I,MATCH($A102,Maestro!$A:$A,0))="Peso","Por libra",TRIM(INDEX(Maestro!$E:$E,MATCH($A102,Maestro!$A:$A,0))&amp;" "&amp;INDEX(Maestro!$F:$F,MATCH($A102,Maestro!$A:$A,0))&amp;" "&amp;INDEX(Maestro!$G:$G,MATCH($A102,Maestro!$A:$A,0)))),""))</f>
        <v/>
      </c>
      <c r="F102" s="13" t="str">
        <f aca="false">IF($A102="","",IFERROR(INDEX(Maestro!$H:$H,MATCH($A102,Maestro!$A:$A,0))&amp;"",""))</f>
        <v/>
      </c>
      <c r="G102" s="13" t="str">
        <f aca="false">IF($A102="","",IFERROR(INDEX(Maestro!$I:$I,MATCH($A102,Maestro!$A:$A,0))&amp;"",""))</f>
        <v/>
      </c>
      <c r="H102" s="14"/>
      <c r="I102" s="11"/>
    </row>
    <row r="103" customFormat="false" ht="15" hidden="false" customHeight="false" outlineLevel="0" collapsed="false">
      <c r="A103" s="11"/>
      <c r="B103" s="12"/>
      <c r="C103" s="13" t="str">
        <f aca="false">IF($A103="","",IFERROR(INDEX(Maestro!$C:$C,MATCH($A103,Maestro!$A:$A,0)),"Código no existe"))</f>
        <v/>
      </c>
      <c r="D103" s="13" t="str">
        <f aca="false">IF($A103="","",IFERROR(INDEX(Maestro!$D:$D,MATCH($A103,Maestro!$A:$A,0))&amp;"",""))</f>
        <v/>
      </c>
      <c r="E103" s="13" t="str">
        <f aca="false">IF($A103="","",IFERROR(IF(INDEX(Maestro!$I:$I,MATCH($A103,Maestro!$A:$A,0))="Peso","Por libra",TRIM(INDEX(Maestro!$E:$E,MATCH($A103,Maestro!$A:$A,0))&amp;" "&amp;INDEX(Maestro!$F:$F,MATCH($A103,Maestro!$A:$A,0))&amp;" "&amp;INDEX(Maestro!$G:$G,MATCH($A103,Maestro!$A:$A,0)))),""))</f>
        <v/>
      </c>
      <c r="F103" s="13" t="str">
        <f aca="false">IF($A103="","",IFERROR(INDEX(Maestro!$H:$H,MATCH($A103,Maestro!$A:$A,0))&amp;"",""))</f>
        <v/>
      </c>
      <c r="G103" s="13" t="str">
        <f aca="false">IF($A103="","",IFERROR(INDEX(Maestro!$I:$I,MATCH($A103,Maestro!$A:$A,0))&amp;"",""))</f>
        <v/>
      </c>
      <c r="H103" s="14"/>
      <c r="I103" s="11"/>
    </row>
    <row r="104" customFormat="false" ht="15" hidden="false" customHeight="false" outlineLevel="0" collapsed="false">
      <c r="A104" s="11"/>
      <c r="B104" s="12"/>
      <c r="C104" s="13" t="str">
        <f aca="false">IF($A104="","",IFERROR(INDEX(Maestro!$C:$C,MATCH($A104,Maestro!$A:$A,0)),"Código no existe"))</f>
        <v/>
      </c>
      <c r="D104" s="13" t="str">
        <f aca="false">IF($A104="","",IFERROR(INDEX(Maestro!$D:$D,MATCH($A104,Maestro!$A:$A,0))&amp;"",""))</f>
        <v/>
      </c>
      <c r="E104" s="13" t="str">
        <f aca="false">IF($A104="","",IFERROR(IF(INDEX(Maestro!$I:$I,MATCH($A104,Maestro!$A:$A,0))="Peso","Por libra",TRIM(INDEX(Maestro!$E:$E,MATCH($A104,Maestro!$A:$A,0))&amp;" "&amp;INDEX(Maestro!$F:$F,MATCH($A104,Maestro!$A:$A,0))&amp;" "&amp;INDEX(Maestro!$G:$G,MATCH($A104,Maestro!$A:$A,0)))),""))</f>
        <v/>
      </c>
      <c r="F104" s="13" t="str">
        <f aca="false">IF($A104="","",IFERROR(INDEX(Maestro!$H:$H,MATCH($A104,Maestro!$A:$A,0))&amp;"",""))</f>
        <v/>
      </c>
      <c r="G104" s="13" t="str">
        <f aca="false">IF($A104="","",IFERROR(INDEX(Maestro!$I:$I,MATCH($A104,Maestro!$A:$A,0))&amp;"",""))</f>
        <v/>
      </c>
      <c r="H104" s="14"/>
      <c r="I104" s="11"/>
    </row>
    <row r="105" customFormat="false" ht="15" hidden="false" customHeight="false" outlineLevel="0" collapsed="false">
      <c r="A105" s="11"/>
      <c r="B105" s="12"/>
      <c r="C105" s="13" t="str">
        <f aca="false">IF($A105="","",IFERROR(INDEX(Maestro!$C:$C,MATCH($A105,Maestro!$A:$A,0)),"Código no existe"))</f>
        <v/>
      </c>
      <c r="D105" s="13" t="str">
        <f aca="false">IF($A105="","",IFERROR(INDEX(Maestro!$D:$D,MATCH($A105,Maestro!$A:$A,0))&amp;"",""))</f>
        <v/>
      </c>
      <c r="E105" s="13" t="str">
        <f aca="false">IF($A105="","",IFERROR(IF(INDEX(Maestro!$I:$I,MATCH($A105,Maestro!$A:$A,0))="Peso","Por libra",TRIM(INDEX(Maestro!$E:$E,MATCH($A105,Maestro!$A:$A,0))&amp;" "&amp;INDEX(Maestro!$F:$F,MATCH($A105,Maestro!$A:$A,0))&amp;" "&amp;INDEX(Maestro!$G:$G,MATCH($A105,Maestro!$A:$A,0)))),""))</f>
        <v/>
      </c>
      <c r="F105" s="13" t="str">
        <f aca="false">IF($A105="","",IFERROR(INDEX(Maestro!$H:$H,MATCH($A105,Maestro!$A:$A,0))&amp;"",""))</f>
        <v/>
      </c>
      <c r="G105" s="13" t="str">
        <f aca="false">IF($A105="","",IFERROR(INDEX(Maestro!$I:$I,MATCH($A105,Maestro!$A:$A,0))&amp;"",""))</f>
        <v/>
      </c>
      <c r="H105" s="14"/>
      <c r="I105" s="11"/>
    </row>
    <row r="106" customFormat="false" ht="15" hidden="false" customHeight="false" outlineLevel="0" collapsed="false">
      <c r="A106" s="11"/>
      <c r="B106" s="12"/>
      <c r="C106" s="13" t="str">
        <f aca="false">IF($A106="","",IFERROR(INDEX(Maestro!$C:$C,MATCH($A106,Maestro!$A:$A,0)),"Código no existe"))</f>
        <v/>
      </c>
      <c r="D106" s="13" t="str">
        <f aca="false">IF($A106="","",IFERROR(INDEX(Maestro!$D:$D,MATCH($A106,Maestro!$A:$A,0))&amp;"",""))</f>
        <v/>
      </c>
      <c r="E106" s="13" t="str">
        <f aca="false">IF($A106="","",IFERROR(IF(INDEX(Maestro!$I:$I,MATCH($A106,Maestro!$A:$A,0))="Peso","Por libra",TRIM(INDEX(Maestro!$E:$E,MATCH($A106,Maestro!$A:$A,0))&amp;" "&amp;INDEX(Maestro!$F:$F,MATCH($A106,Maestro!$A:$A,0))&amp;" "&amp;INDEX(Maestro!$G:$G,MATCH($A106,Maestro!$A:$A,0)))),""))</f>
        <v/>
      </c>
      <c r="F106" s="13" t="str">
        <f aca="false">IF($A106="","",IFERROR(INDEX(Maestro!$H:$H,MATCH($A106,Maestro!$A:$A,0))&amp;"",""))</f>
        <v/>
      </c>
      <c r="G106" s="13" t="str">
        <f aca="false">IF($A106="","",IFERROR(INDEX(Maestro!$I:$I,MATCH($A106,Maestro!$A:$A,0))&amp;"",""))</f>
        <v/>
      </c>
      <c r="H106" s="14"/>
      <c r="I106" s="11"/>
    </row>
    <row r="107" customFormat="false" ht="15" hidden="false" customHeight="false" outlineLevel="0" collapsed="false">
      <c r="A107" s="11"/>
      <c r="B107" s="12"/>
      <c r="C107" s="13" t="str">
        <f aca="false">IF($A107="","",IFERROR(INDEX(Maestro!$C:$C,MATCH($A107,Maestro!$A:$A,0)),"Código no existe"))</f>
        <v/>
      </c>
      <c r="D107" s="13" t="str">
        <f aca="false">IF($A107="","",IFERROR(INDEX(Maestro!$D:$D,MATCH($A107,Maestro!$A:$A,0))&amp;"",""))</f>
        <v/>
      </c>
      <c r="E107" s="13" t="str">
        <f aca="false">IF($A107="","",IFERROR(IF(INDEX(Maestro!$I:$I,MATCH($A107,Maestro!$A:$A,0))="Peso","Por libra",TRIM(INDEX(Maestro!$E:$E,MATCH($A107,Maestro!$A:$A,0))&amp;" "&amp;INDEX(Maestro!$F:$F,MATCH($A107,Maestro!$A:$A,0))&amp;" "&amp;INDEX(Maestro!$G:$G,MATCH($A107,Maestro!$A:$A,0)))),""))</f>
        <v/>
      </c>
      <c r="F107" s="13" t="str">
        <f aca="false">IF($A107="","",IFERROR(INDEX(Maestro!$H:$H,MATCH($A107,Maestro!$A:$A,0))&amp;"",""))</f>
        <v/>
      </c>
      <c r="G107" s="13" t="str">
        <f aca="false">IF($A107="","",IFERROR(INDEX(Maestro!$I:$I,MATCH($A107,Maestro!$A:$A,0))&amp;"",""))</f>
        <v/>
      </c>
      <c r="H107" s="14"/>
      <c r="I107" s="11"/>
    </row>
    <row r="108" customFormat="false" ht="15" hidden="false" customHeight="false" outlineLevel="0" collapsed="false">
      <c r="A108" s="11"/>
      <c r="B108" s="12"/>
      <c r="C108" s="13" t="str">
        <f aca="false">IF($A108="","",IFERROR(INDEX(Maestro!$C:$C,MATCH($A108,Maestro!$A:$A,0)),"Código no existe"))</f>
        <v/>
      </c>
      <c r="D108" s="13" t="str">
        <f aca="false">IF($A108="","",IFERROR(INDEX(Maestro!$D:$D,MATCH($A108,Maestro!$A:$A,0))&amp;"",""))</f>
        <v/>
      </c>
      <c r="E108" s="13" t="str">
        <f aca="false">IF($A108="","",IFERROR(IF(INDEX(Maestro!$I:$I,MATCH($A108,Maestro!$A:$A,0))="Peso","Por libra",TRIM(INDEX(Maestro!$E:$E,MATCH($A108,Maestro!$A:$A,0))&amp;" "&amp;INDEX(Maestro!$F:$F,MATCH($A108,Maestro!$A:$A,0))&amp;" "&amp;INDEX(Maestro!$G:$G,MATCH($A108,Maestro!$A:$A,0)))),""))</f>
        <v/>
      </c>
      <c r="F108" s="13" t="str">
        <f aca="false">IF($A108="","",IFERROR(INDEX(Maestro!$H:$H,MATCH($A108,Maestro!$A:$A,0))&amp;"",""))</f>
        <v/>
      </c>
      <c r="G108" s="13" t="str">
        <f aca="false">IF($A108="","",IFERROR(INDEX(Maestro!$I:$I,MATCH($A108,Maestro!$A:$A,0))&amp;"",""))</f>
        <v/>
      </c>
      <c r="H108" s="14"/>
      <c r="I108" s="11"/>
    </row>
    <row r="109" customFormat="false" ht="15" hidden="false" customHeight="false" outlineLevel="0" collapsed="false">
      <c r="A109" s="11"/>
      <c r="B109" s="12"/>
      <c r="C109" s="13" t="str">
        <f aca="false">IF($A109="","",IFERROR(INDEX(Maestro!$C:$C,MATCH($A109,Maestro!$A:$A,0)),"Código no existe"))</f>
        <v/>
      </c>
      <c r="D109" s="13" t="str">
        <f aca="false">IF($A109="","",IFERROR(INDEX(Maestro!$D:$D,MATCH($A109,Maestro!$A:$A,0))&amp;"",""))</f>
        <v/>
      </c>
      <c r="E109" s="13" t="str">
        <f aca="false">IF($A109="","",IFERROR(IF(INDEX(Maestro!$I:$I,MATCH($A109,Maestro!$A:$A,0))="Peso","Por libra",TRIM(INDEX(Maestro!$E:$E,MATCH($A109,Maestro!$A:$A,0))&amp;" "&amp;INDEX(Maestro!$F:$F,MATCH($A109,Maestro!$A:$A,0))&amp;" "&amp;INDEX(Maestro!$G:$G,MATCH($A109,Maestro!$A:$A,0)))),""))</f>
        <v/>
      </c>
      <c r="F109" s="13" t="str">
        <f aca="false">IF($A109="","",IFERROR(INDEX(Maestro!$H:$H,MATCH($A109,Maestro!$A:$A,0))&amp;"",""))</f>
        <v/>
      </c>
      <c r="G109" s="13" t="str">
        <f aca="false">IF($A109="","",IFERROR(INDEX(Maestro!$I:$I,MATCH($A109,Maestro!$A:$A,0))&amp;"",""))</f>
        <v/>
      </c>
      <c r="H109" s="14"/>
      <c r="I109" s="11"/>
    </row>
    <row r="110" customFormat="false" ht="15" hidden="false" customHeight="false" outlineLevel="0" collapsed="false">
      <c r="A110" s="11"/>
      <c r="B110" s="12"/>
      <c r="C110" s="13" t="str">
        <f aca="false">IF($A110="","",IFERROR(INDEX(Maestro!$C:$C,MATCH($A110,Maestro!$A:$A,0)),"Código no existe"))</f>
        <v/>
      </c>
      <c r="D110" s="13" t="str">
        <f aca="false">IF($A110="","",IFERROR(INDEX(Maestro!$D:$D,MATCH($A110,Maestro!$A:$A,0))&amp;"",""))</f>
        <v/>
      </c>
      <c r="E110" s="13" t="str">
        <f aca="false">IF($A110="","",IFERROR(IF(INDEX(Maestro!$I:$I,MATCH($A110,Maestro!$A:$A,0))="Peso","Por libra",TRIM(INDEX(Maestro!$E:$E,MATCH($A110,Maestro!$A:$A,0))&amp;" "&amp;INDEX(Maestro!$F:$F,MATCH($A110,Maestro!$A:$A,0))&amp;" "&amp;INDEX(Maestro!$G:$G,MATCH($A110,Maestro!$A:$A,0)))),""))</f>
        <v/>
      </c>
      <c r="F110" s="13" t="str">
        <f aca="false">IF($A110="","",IFERROR(INDEX(Maestro!$H:$H,MATCH($A110,Maestro!$A:$A,0))&amp;"",""))</f>
        <v/>
      </c>
      <c r="G110" s="13" t="str">
        <f aca="false">IF($A110="","",IFERROR(INDEX(Maestro!$I:$I,MATCH($A110,Maestro!$A:$A,0))&amp;"",""))</f>
        <v/>
      </c>
      <c r="H110" s="14"/>
      <c r="I110" s="11"/>
    </row>
    <row r="111" customFormat="false" ht="15" hidden="false" customHeight="false" outlineLevel="0" collapsed="false">
      <c r="A111" s="11"/>
      <c r="B111" s="12"/>
      <c r="C111" s="13" t="str">
        <f aca="false">IF($A111="","",IFERROR(INDEX(Maestro!$C:$C,MATCH($A111,Maestro!$A:$A,0)),"Código no existe"))</f>
        <v/>
      </c>
      <c r="D111" s="13" t="str">
        <f aca="false">IF($A111="","",IFERROR(INDEX(Maestro!$D:$D,MATCH($A111,Maestro!$A:$A,0))&amp;"",""))</f>
        <v/>
      </c>
      <c r="E111" s="13" t="str">
        <f aca="false">IF($A111="","",IFERROR(IF(INDEX(Maestro!$I:$I,MATCH($A111,Maestro!$A:$A,0))="Peso","Por libra",TRIM(INDEX(Maestro!$E:$E,MATCH($A111,Maestro!$A:$A,0))&amp;" "&amp;INDEX(Maestro!$F:$F,MATCH($A111,Maestro!$A:$A,0))&amp;" "&amp;INDEX(Maestro!$G:$G,MATCH($A111,Maestro!$A:$A,0)))),""))</f>
        <v/>
      </c>
      <c r="F111" s="13" t="str">
        <f aca="false">IF($A111="","",IFERROR(INDEX(Maestro!$H:$H,MATCH($A111,Maestro!$A:$A,0))&amp;"",""))</f>
        <v/>
      </c>
      <c r="G111" s="13" t="str">
        <f aca="false">IF($A111="","",IFERROR(INDEX(Maestro!$I:$I,MATCH($A111,Maestro!$A:$A,0))&amp;"",""))</f>
        <v/>
      </c>
      <c r="H111" s="14"/>
      <c r="I111" s="11"/>
    </row>
    <row r="112" customFormat="false" ht="15" hidden="false" customHeight="false" outlineLevel="0" collapsed="false">
      <c r="A112" s="11"/>
      <c r="B112" s="12"/>
      <c r="C112" s="13" t="str">
        <f aca="false">IF($A112="","",IFERROR(INDEX(Maestro!$C:$C,MATCH($A112,Maestro!$A:$A,0)),"Código no existe"))</f>
        <v/>
      </c>
      <c r="D112" s="13" t="str">
        <f aca="false">IF($A112="","",IFERROR(INDEX(Maestro!$D:$D,MATCH($A112,Maestro!$A:$A,0))&amp;"",""))</f>
        <v/>
      </c>
      <c r="E112" s="13" t="str">
        <f aca="false">IF($A112="","",IFERROR(IF(INDEX(Maestro!$I:$I,MATCH($A112,Maestro!$A:$A,0))="Peso","Por libra",TRIM(INDEX(Maestro!$E:$E,MATCH($A112,Maestro!$A:$A,0))&amp;" "&amp;INDEX(Maestro!$F:$F,MATCH($A112,Maestro!$A:$A,0))&amp;" "&amp;INDEX(Maestro!$G:$G,MATCH($A112,Maestro!$A:$A,0)))),""))</f>
        <v/>
      </c>
      <c r="F112" s="13" t="str">
        <f aca="false">IF($A112="","",IFERROR(INDEX(Maestro!$H:$H,MATCH($A112,Maestro!$A:$A,0))&amp;"",""))</f>
        <v/>
      </c>
      <c r="G112" s="13" t="str">
        <f aca="false">IF($A112="","",IFERROR(INDEX(Maestro!$I:$I,MATCH($A112,Maestro!$A:$A,0))&amp;"",""))</f>
        <v/>
      </c>
      <c r="H112" s="14"/>
      <c r="I112" s="11"/>
    </row>
    <row r="113" customFormat="false" ht="15" hidden="false" customHeight="false" outlineLevel="0" collapsed="false">
      <c r="A113" s="11"/>
      <c r="B113" s="12"/>
      <c r="C113" s="13" t="str">
        <f aca="false">IF($A113="","",IFERROR(INDEX(Maestro!$C:$C,MATCH($A113,Maestro!$A:$A,0)),"Código no existe"))</f>
        <v/>
      </c>
      <c r="D113" s="13" t="str">
        <f aca="false">IF($A113="","",IFERROR(INDEX(Maestro!$D:$D,MATCH($A113,Maestro!$A:$A,0))&amp;"",""))</f>
        <v/>
      </c>
      <c r="E113" s="13" t="str">
        <f aca="false">IF($A113="","",IFERROR(IF(INDEX(Maestro!$I:$I,MATCH($A113,Maestro!$A:$A,0))="Peso","Por libra",TRIM(INDEX(Maestro!$E:$E,MATCH($A113,Maestro!$A:$A,0))&amp;" "&amp;INDEX(Maestro!$F:$F,MATCH($A113,Maestro!$A:$A,0))&amp;" "&amp;INDEX(Maestro!$G:$G,MATCH($A113,Maestro!$A:$A,0)))),""))</f>
        <v/>
      </c>
      <c r="F113" s="13" t="str">
        <f aca="false">IF($A113="","",IFERROR(INDEX(Maestro!$H:$H,MATCH($A113,Maestro!$A:$A,0))&amp;"",""))</f>
        <v/>
      </c>
      <c r="G113" s="13" t="str">
        <f aca="false">IF($A113="","",IFERROR(INDEX(Maestro!$I:$I,MATCH($A113,Maestro!$A:$A,0))&amp;"",""))</f>
        <v/>
      </c>
      <c r="H113" s="14"/>
      <c r="I113" s="11"/>
    </row>
    <row r="114" customFormat="false" ht="15" hidden="false" customHeight="false" outlineLevel="0" collapsed="false">
      <c r="A114" s="11"/>
      <c r="B114" s="12"/>
      <c r="C114" s="13" t="str">
        <f aca="false">IF($A114="","",IFERROR(INDEX(Maestro!$C:$C,MATCH($A114,Maestro!$A:$A,0)),"Código no existe"))</f>
        <v/>
      </c>
      <c r="D114" s="13" t="str">
        <f aca="false">IF($A114="","",IFERROR(INDEX(Maestro!$D:$D,MATCH($A114,Maestro!$A:$A,0))&amp;"",""))</f>
        <v/>
      </c>
      <c r="E114" s="13" t="str">
        <f aca="false">IF($A114="","",IFERROR(IF(INDEX(Maestro!$I:$I,MATCH($A114,Maestro!$A:$A,0))="Peso","Por libra",TRIM(INDEX(Maestro!$E:$E,MATCH($A114,Maestro!$A:$A,0))&amp;" "&amp;INDEX(Maestro!$F:$F,MATCH($A114,Maestro!$A:$A,0))&amp;" "&amp;INDEX(Maestro!$G:$G,MATCH($A114,Maestro!$A:$A,0)))),""))</f>
        <v/>
      </c>
      <c r="F114" s="13" t="str">
        <f aca="false">IF($A114="","",IFERROR(INDEX(Maestro!$H:$H,MATCH($A114,Maestro!$A:$A,0))&amp;"",""))</f>
        <v/>
      </c>
      <c r="G114" s="13" t="str">
        <f aca="false">IF($A114="","",IFERROR(INDEX(Maestro!$I:$I,MATCH($A114,Maestro!$A:$A,0))&amp;"",""))</f>
        <v/>
      </c>
      <c r="H114" s="14"/>
      <c r="I114" s="11"/>
    </row>
    <row r="115" customFormat="false" ht="15" hidden="false" customHeight="false" outlineLevel="0" collapsed="false">
      <c r="A115" s="11"/>
      <c r="B115" s="12"/>
      <c r="C115" s="13" t="str">
        <f aca="false">IF($A115="","",IFERROR(INDEX(Maestro!$C:$C,MATCH($A115,Maestro!$A:$A,0)),"Código no existe"))</f>
        <v/>
      </c>
      <c r="D115" s="13" t="str">
        <f aca="false">IF($A115="","",IFERROR(INDEX(Maestro!$D:$D,MATCH($A115,Maestro!$A:$A,0))&amp;"",""))</f>
        <v/>
      </c>
      <c r="E115" s="13" t="str">
        <f aca="false">IF($A115="","",IFERROR(IF(INDEX(Maestro!$I:$I,MATCH($A115,Maestro!$A:$A,0))="Peso","Por libra",TRIM(INDEX(Maestro!$E:$E,MATCH($A115,Maestro!$A:$A,0))&amp;" "&amp;INDEX(Maestro!$F:$F,MATCH($A115,Maestro!$A:$A,0))&amp;" "&amp;INDEX(Maestro!$G:$G,MATCH($A115,Maestro!$A:$A,0)))),""))</f>
        <v/>
      </c>
      <c r="F115" s="13" t="str">
        <f aca="false">IF($A115="","",IFERROR(INDEX(Maestro!$H:$H,MATCH($A115,Maestro!$A:$A,0))&amp;"",""))</f>
        <v/>
      </c>
      <c r="G115" s="13" t="str">
        <f aca="false">IF($A115="","",IFERROR(INDEX(Maestro!$I:$I,MATCH($A115,Maestro!$A:$A,0))&amp;"",""))</f>
        <v/>
      </c>
      <c r="H115" s="14"/>
      <c r="I115" s="11"/>
    </row>
    <row r="116" customFormat="false" ht="15" hidden="false" customHeight="false" outlineLevel="0" collapsed="false">
      <c r="A116" s="11"/>
      <c r="B116" s="12"/>
      <c r="C116" s="13" t="str">
        <f aca="false">IF($A116="","",IFERROR(INDEX(Maestro!$C:$C,MATCH($A116,Maestro!$A:$A,0)),"Código no existe"))</f>
        <v/>
      </c>
      <c r="D116" s="13" t="str">
        <f aca="false">IF($A116="","",IFERROR(INDEX(Maestro!$D:$D,MATCH($A116,Maestro!$A:$A,0))&amp;"",""))</f>
        <v/>
      </c>
      <c r="E116" s="13" t="str">
        <f aca="false">IF($A116="","",IFERROR(IF(INDEX(Maestro!$I:$I,MATCH($A116,Maestro!$A:$A,0))="Peso","Por libra",TRIM(INDEX(Maestro!$E:$E,MATCH($A116,Maestro!$A:$A,0))&amp;" "&amp;INDEX(Maestro!$F:$F,MATCH($A116,Maestro!$A:$A,0))&amp;" "&amp;INDEX(Maestro!$G:$G,MATCH($A116,Maestro!$A:$A,0)))),""))</f>
        <v/>
      </c>
      <c r="F116" s="13" t="str">
        <f aca="false">IF($A116="","",IFERROR(INDEX(Maestro!$H:$H,MATCH($A116,Maestro!$A:$A,0))&amp;"",""))</f>
        <v/>
      </c>
      <c r="G116" s="13" t="str">
        <f aca="false">IF($A116="","",IFERROR(INDEX(Maestro!$I:$I,MATCH($A116,Maestro!$A:$A,0))&amp;"",""))</f>
        <v/>
      </c>
      <c r="H116" s="14"/>
      <c r="I116" s="11"/>
    </row>
    <row r="117" customFormat="false" ht="15" hidden="false" customHeight="false" outlineLevel="0" collapsed="false">
      <c r="A117" s="11"/>
      <c r="B117" s="12"/>
      <c r="C117" s="13" t="str">
        <f aca="false">IF($A117="","",IFERROR(INDEX(Maestro!$C:$C,MATCH($A117,Maestro!$A:$A,0)),"Código no existe"))</f>
        <v/>
      </c>
      <c r="D117" s="13" t="str">
        <f aca="false">IF($A117="","",IFERROR(INDEX(Maestro!$D:$D,MATCH($A117,Maestro!$A:$A,0))&amp;"",""))</f>
        <v/>
      </c>
      <c r="E117" s="13" t="str">
        <f aca="false">IF($A117="","",IFERROR(IF(INDEX(Maestro!$I:$I,MATCH($A117,Maestro!$A:$A,0))="Peso","Por libra",TRIM(INDEX(Maestro!$E:$E,MATCH($A117,Maestro!$A:$A,0))&amp;" "&amp;INDEX(Maestro!$F:$F,MATCH($A117,Maestro!$A:$A,0))&amp;" "&amp;INDEX(Maestro!$G:$G,MATCH($A117,Maestro!$A:$A,0)))),""))</f>
        <v/>
      </c>
      <c r="F117" s="13" t="str">
        <f aca="false">IF($A117="","",IFERROR(INDEX(Maestro!$H:$H,MATCH($A117,Maestro!$A:$A,0))&amp;"",""))</f>
        <v/>
      </c>
      <c r="G117" s="13" t="str">
        <f aca="false">IF($A117="","",IFERROR(INDEX(Maestro!$I:$I,MATCH($A117,Maestro!$A:$A,0))&amp;"",""))</f>
        <v/>
      </c>
      <c r="H117" s="14"/>
      <c r="I117" s="11"/>
    </row>
    <row r="118" customFormat="false" ht="15" hidden="false" customHeight="false" outlineLevel="0" collapsed="false">
      <c r="A118" s="11"/>
      <c r="B118" s="12"/>
      <c r="C118" s="13" t="str">
        <f aca="false">IF($A118="","",IFERROR(INDEX(Maestro!$C:$C,MATCH($A118,Maestro!$A:$A,0)),"Código no existe"))</f>
        <v/>
      </c>
      <c r="D118" s="13" t="str">
        <f aca="false">IF($A118="","",IFERROR(INDEX(Maestro!$D:$D,MATCH($A118,Maestro!$A:$A,0))&amp;"",""))</f>
        <v/>
      </c>
      <c r="E118" s="13" t="str">
        <f aca="false">IF($A118="","",IFERROR(IF(INDEX(Maestro!$I:$I,MATCH($A118,Maestro!$A:$A,0))="Peso","Por libra",TRIM(INDEX(Maestro!$E:$E,MATCH($A118,Maestro!$A:$A,0))&amp;" "&amp;INDEX(Maestro!$F:$F,MATCH($A118,Maestro!$A:$A,0))&amp;" "&amp;INDEX(Maestro!$G:$G,MATCH($A118,Maestro!$A:$A,0)))),""))</f>
        <v/>
      </c>
      <c r="F118" s="13" t="str">
        <f aca="false">IF($A118="","",IFERROR(INDEX(Maestro!$H:$H,MATCH($A118,Maestro!$A:$A,0))&amp;"",""))</f>
        <v/>
      </c>
      <c r="G118" s="13" t="str">
        <f aca="false">IF($A118="","",IFERROR(INDEX(Maestro!$I:$I,MATCH($A118,Maestro!$A:$A,0))&amp;"",""))</f>
        <v/>
      </c>
      <c r="H118" s="14"/>
      <c r="I118" s="11"/>
    </row>
    <row r="119" customFormat="false" ht="15" hidden="false" customHeight="false" outlineLevel="0" collapsed="false">
      <c r="A119" s="11"/>
      <c r="B119" s="12"/>
      <c r="C119" s="13" t="str">
        <f aca="false">IF($A119="","",IFERROR(INDEX(Maestro!$C:$C,MATCH($A119,Maestro!$A:$A,0)),"Código no existe"))</f>
        <v/>
      </c>
      <c r="D119" s="13" t="str">
        <f aca="false">IF($A119="","",IFERROR(INDEX(Maestro!$D:$D,MATCH($A119,Maestro!$A:$A,0))&amp;"",""))</f>
        <v/>
      </c>
      <c r="E119" s="13" t="str">
        <f aca="false">IF($A119="","",IFERROR(IF(INDEX(Maestro!$I:$I,MATCH($A119,Maestro!$A:$A,0))="Peso","Por libra",TRIM(INDEX(Maestro!$E:$E,MATCH($A119,Maestro!$A:$A,0))&amp;" "&amp;INDEX(Maestro!$F:$F,MATCH($A119,Maestro!$A:$A,0))&amp;" "&amp;INDEX(Maestro!$G:$G,MATCH($A119,Maestro!$A:$A,0)))),""))</f>
        <v/>
      </c>
      <c r="F119" s="13" t="str">
        <f aca="false">IF($A119="","",IFERROR(INDEX(Maestro!$H:$H,MATCH($A119,Maestro!$A:$A,0))&amp;"",""))</f>
        <v/>
      </c>
      <c r="G119" s="13" t="str">
        <f aca="false">IF($A119="","",IFERROR(INDEX(Maestro!$I:$I,MATCH($A119,Maestro!$A:$A,0))&amp;"",""))</f>
        <v/>
      </c>
      <c r="H119" s="14"/>
      <c r="I119" s="11"/>
    </row>
    <row r="120" customFormat="false" ht="15" hidden="false" customHeight="false" outlineLevel="0" collapsed="false">
      <c r="A120" s="11"/>
      <c r="B120" s="12"/>
      <c r="C120" s="13" t="str">
        <f aca="false">IF($A120="","",IFERROR(INDEX(Maestro!$C:$C,MATCH($A120,Maestro!$A:$A,0)),"Código no existe"))</f>
        <v/>
      </c>
      <c r="D120" s="13" t="str">
        <f aca="false">IF($A120="","",IFERROR(INDEX(Maestro!$D:$D,MATCH($A120,Maestro!$A:$A,0))&amp;"",""))</f>
        <v/>
      </c>
      <c r="E120" s="13" t="str">
        <f aca="false">IF($A120="","",IFERROR(IF(INDEX(Maestro!$I:$I,MATCH($A120,Maestro!$A:$A,0))="Peso","Por libra",TRIM(INDEX(Maestro!$E:$E,MATCH($A120,Maestro!$A:$A,0))&amp;" "&amp;INDEX(Maestro!$F:$F,MATCH($A120,Maestro!$A:$A,0))&amp;" "&amp;INDEX(Maestro!$G:$G,MATCH($A120,Maestro!$A:$A,0)))),""))</f>
        <v/>
      </c>
      <c r="F120" s="13" t="str">
        <f aca="false">IF($A120="","",IFERROR(INDEX(Maestro!$H:$H,MATCH($A120,Maestro!$A:$A,0))&amp;"",""))</f>
        <v/>
      </c>
      <c r="G120" s="13" t="str">
        <f aca="false">IF($A120="","",IFERROR(INDEX(Maestro!$I:$I,MATCH($A120,Maestro!$A:$A,0))&amp;"",""))</f>
        <v/>
      </c>
      <c r="H120" s="14"/>
      <c r="I120" s="11"/>
    </row>
    <row r="121" customFormat="false" ht="15" hidden="false" customHeight="false" outlineLevel="0" collapsed="false">
      <c r="A121" s="11"/>
      <c r="B121" s="12"/>
      <c r="C121" s="13" t="str">
        <f aca="false">IF($A121="","",IFERROR(INDEX(Maestro!$C:$C,MATCH($A121,Maestro!$A:$A,0)),"Código no existe"))</f>
        <v/>
      </c>
      <c r="D121" s="13" t="str">
        <f aca="false">IF($A121="","",IFERROR(INDEX(Maestro!$D:$D,MATCH($A121,Maestro!$A:$A,0))&amp;"",""))</f>
        <v/>
      </c>
      <c r="E121" s="13" t="str">
        <f aca="false">IF($A121="","",IFERROR(IF(INDEX(Maestro!$I:$I,MATCH($A121,Maestro!$A:$A,0))="Peso","Por libra",TRIM(INDEX(Maestro!$E:$E,MATCH($A121,Maestro!$A:$A,0))&amp;" "&amp;INDEX(Maestro!$F:$F,MATCH($A121,Maestro!$A:$A,0))&amp;" "&amp;INDEX(Maestro!$G:$G,MATCH($A121,Maestro!$A:$A,0)))),""))</f>
        <v/>
      </c>
      <c r="F121" s="13" t="str">
        <f aca="false">IF($A121="","",IFERROR(INDEX(Maestro!$H:$H,MATCH($A121,Maestro!$A:$A,0))&amp;"",""))</f>
        <v/>
      </c>
      <c r="G121" s="13" t="str">
        <f aca="false">IF($A121="","",IFERROR(INDEX(Maestro!$I:$I,MATCH($A121,Maestro!$A:$A,0))&amp;"",""))</f>
        <v/>
      </c>
      <c r="H121" s="14"/>
      <c r="I121" s="11"/>
    </row>
    <row r="122" customFormat="false" ht="15" hidden="false" customHeight="false" outlineLevel="0" collapsed="false">
      <c r="A122" s="11"/>
      <c r="B122" s="12"/>
      <c r="C122" s="13" t="str">
        <f aca="false">IF($A122="","",IFERROR(INDEX(Maestro!$C:$C,MATCH($A122,Maestro!$A:$A,0)),"Código no existe"))</f>
        <v/>
      </c>
      <c r="D122" s="13" t="str">
        <f aca="false">IF($A122="","",IFERROR(INDEX(Maestro!$D:$D,MATCH($A122,Maestro!$A:$A,0))&amp;"",""))</f>
        <v/>
      </c>
      <c r="E122" s="13" t="str">
        <f aca="false">IF($A122="","",IFERROR(IF(INDEX(Maestro!$I:$I,MATCH($A122,Maestro!$A:$A,0))="Peso","Por libra",TRIM(INDEX(Maestro!$E:$E,MATCH($A122,Maestro!$A:$A,0))&amp;" "&amp;INDEX(Maestro!$F:$F,MATCH($A122,Maestro!$A:$A,0))&amp;" "&amp;INDEX(Maestro!$G:$G,MATCH($A122,Maestro!$A:$A,0)))),""))</f>
        <v/>
      </c>
      <c r="F122" s="13" t="str">
        <f aca="false">IF($A122="","",IFERROR(INDEX(Maestro!$H:$H,MATCH($A122,Maestro!$A:$A,0))&amp;"",""))</f>
        <v/>
      </c>
      <c r="G122" s="13" t="str">
        <f aca="false">IF($A122="","",IFERROR(INDEX(Maestro!$I:$I,MATCH($A122,Maestro!$A:$A,0))&amp;"",""))</f>
        <v/>
      </c>
      <c r="H122" s="14"/>
      <c r="I122" s="11"/>
    </row>
    <row r="123" customFormat="false" ht="15" hidden="false" customHeight="false" outlineLevel="0" collapsed="false">
      <c r="A123" s="11"/>
      <c r="B123" s="12"/>
      <c r="C123" s="13" t="str">
        <f aca="false">IF($A123="","",IFERROR(INDEX(Maestro!$C:$C,MATCH($A123,Maestro!$A:$A,0)),"Código no existe"))</f>
        <v/>
      </c>
      <c r="D123" s="13" t="str">
        <f aca="false">IF($A123="","",IFERROR(INDEX(Maestro!$D:$D,MATCH($A123,Maestro!$A:$A,0))&amp;"",""))</f>
        <v/>
      </c>
      <c r="E123" s="13" t="str">
        <f aca="false">IF($A123="","",IFERROR(IF(INDEX(Maestro!$I:$I,MATCH($A123,Maestro!$A:$A,0))="Peso","Por libra",TRIM(INDEX(Maestro!$E:$E,MATCH($A123,Maestro!$A:$A,0))&amp;" "&amp;INDEX(Maestro!$F:$F,MATCH($A123,Maestro!$A:$A,0))&amp;" "&amp;INDEX(Maestro!$G:$G,MATCH($A123,Maestro!$A:$A,0)))),""))</f>
        <v/>
      </c>
      <c r="F123" s="13" t="str">
        <f aca="false">IF($A123="","",IFERROR(INDEX(Maestro!$H:$H,MATCH($A123,Maestro!$A:$A,0))&amp;"",""))</f>
        <v/>
      </c>
      <c r="G123" s="13" t="str">
        <f aca="false">IF($A123="","",IFERROR(INDEX(Maestro!$I:$I,MATCH($A123,Maestro!$A:$A,0))&amp;"",""))</f>
        <v/>
      </c>
      <c r="H123" s="14"/>
      <c r="I123" s="11"/>
    </row>
    <row r="124" customFormat="false" ht="15" hidden="false" customHeight="false" outlineLevel="0" collapsed="false">
      <c r="A124" s="11"/>
      <c r="B124" s="12"/>
      <c r="C124" s="13" t="str">
        <f aca="false">IF($A124="","",IFERROR(INDEX(Maestro!$C:$C,MATCH($A124,Maestro!$A:$A,0)),"Código no existe"))</f>
        <v/>
      </c>
      <c r="D124" s="13" t="str">
        <f aca="false">IF($A124="","",IFERROR(INDEX(Maestro!$D:$D,MATCH($A124,Maestro!$A:$A,0))&amp;"",""))</f>
        <v/>
      </c>
      <c r="E124" s="13" t="str">
        <f aca="false">IF($A124="","",IFERROR(IF(INDEX(Maestro!$I:$I,MATCH($A124,Maestro!$A:$A,0))="Peso","Por libra",TRIM(INDEX(Maestro!$E:$E,MATCH($A124,Maestro!$A:$A,0))&amp;" "&amp;INDEX(Maestro!$F:$F,MATCH($A124,Maestro!$A:$A,0))&amp;" "&amp;INDEX(Maestro!$G:$G,MATCH($A124,Maestro!$A:$A,0)))),""))</f>
        <v/>
      </c>
      <c r="F124" s="13" t="str">
        <f aca="false">IF($A124="","",IFERROR(INDEX(Maestro!$H:$H,MATCH($A124,Maestro!$A:$A,0))&amp;"",""))</f>
        <v/>
      </c>
      <c r="G124" s="13" t="str">
        <f aca="false">IF($A124="","",IFERROR(INDEX(Maestro!$I:$I,MATCH($A124,Maestro!$A:$A,0))&amp;"",""))</f>
        <v/>
      </c>
      <c r="H124" s="14"/>
      <c r="I124" s="11"/>
    </row>
    <row r="125" customFormat="false" ht="15" hidden="false" customHeight="false" outlineLevel="0" collapsed="false">
      <c r="A125" s="11"/>
      <c r="B125" s="12"/>
      <c r="C125" s="13" t="str">
        <f aca="false">IF($A125="","",IFERROR(INDEX(Maestro!$C:$C,MATCH($A125,Maestro!$A:$A,0)),"Código no existe"))</f>
        <v/>
      </c>
      <c r="D125" s="13" t="str">
        <f aca="false">IF($A125="","",IFERROR(INDEX(Maestro!$D:$D,MATCH($A125,Maestro!$A:$A,0))&amp;"",""))</f>
        <v/>
      </c>
      <c r="E125" s="13" t="str">
        <f aca="false">IF($A125="","",IFERROR(IF(INDEX(Maestro!$I:$I,MATCH($A125,Maestro!$A:$A,0))="Peso","Por libra",TRIM(INDEX(Maestro!$E:$E,MATCH($A125,Maestro!$A:$A,0))&amp;" "&amp;INDEX(Maestro!$F:$F,MATCH($A125,Maestro!$A:$A,0))&amp;" "&amp;INDEX(Maestro!$G:$G,MATCH($A125,Maestro!$A:$A,0)))),""))</f>
        <v/>
      </c>
      <c r="F125" s="13" t="str">
        <f aca="false">IF($A125="","",IFERROR(INDEX(Maestro!$H:$H,MATCH($A125,Maestro!$A:$A,0))&amp;"",""))</f>
        <v/>
      </c>
      <c r="G125" s="13" t="str">
        <f aca="false">IF($A125="","",IFERROR(INDEX(Maestro!$I:$I,MATCH($A125,Maestro!$A:$A,0))&amp;"",""))</f>
        <v/>
      </c>
      <c r="H125" s="14"/>
      <c r="I125" s="11"/>
    </row>
    <row r="126" customFormat="false" ht="15" hidden="false" customHeight="false" outlineLevel="0" collapsed="false">
      <c r="A126" s="11"/>
      <c r="B126" s="12"/>
      <c r="C126" s="13" t="str">
        <f aca="false">IF($A126="","",IFERROR(INDEX(Maestro!$C:$C,MATCH($A126,Maestro!$A:$A,0)),"Código no existe"))</f>
        <v/>
      </c>
      <c r="D126" s="13" t="str">
        <f aca="false">IF($A126="","",IFERROR(INDEX(Maestro!$D:$D,MATCH($A126,Maestro!$A:$A,0))&amp;"",""))</f>
        <v/>
      </c>
      <c r="E126" s="13" t="str">
        <f aca="false">IF($A126="","",IFERROR(IF(INDEX(Maestro!$I:$I,MATCH($A126,Maestro!$A:$A,0))="Peso","Por libra",TRIM(INDEX(Maestro!$E:$E,MATCH($A126,Maestro!$A:$A,0))&amp;" "&amp;INDEX(Maestro!$F:$F,MATCH($A126,Maestro!$A:$A,0))&amp;" "&amp;INDEX(Maestro!$G:$G,MATCH($A126,Maestro!$A:$A,0)))),""))</f>
        <v/>
      </c>
      <c r="F126" s="13" t="str">
        <f aca="false">IF($A126="","",IFERROR(INDEX(Maestro!$H:$H,MATCH($A126,Maestro!$A:$A,0))&amp;"",""))</f>
        <v/>
      </c>
      <c r="G126" s="13" t="str">
        <f aca="false">IF($A126="","",IFERROR(INDEX(Maestro!$I:$I,MATCH($A126,Maestro!$A:$A,0))&amp;"",""))</f>
        <v/>
      </c>
      <c r="H126" s="14"/>
      <c r="I126" s="11"/>
    </row>
    <row r="127" customFormat="false" ht="15" hidden="false" customHeight="false" outlineLevel="0" collapsed="false">
      <c r="A127" s="11"/>
      <c r="B127" s="12"/>
      <c r="C127" s="13" t="str">
        <f aca="false">IF($A127="","",IFERROR(INDEX(Maestro!$C:$C,MATCH($A127,Maestro!$A:$A,0)),"Código no existe"))</f>
        <v/>
      </c>
      <c r="D127" s="13" t="str">
        <f aca="false">IF($A127="","",IFERROR(INDEX(Maestro!$D:$D,MATCH($A127,Maestro!$A:$A,0))&amp;"",""))</f>
        <v/>
      </c>
      <c r="E127" s="13" t="str">
        <f aca="false">IF($A127="","",IFERROR(IF(INDEX(Maestro!$I:$I,MATCH($A127,Maestro!$A:$A,0))="Peso","Por libra",TRIM(INDEX(Maestro!$E:$E,MATCH($A127,Maestro!$A:$A,0))&amp;" "&amp;INDEX(Maestro!$F:$F,MATCH($A127,Maestro!$A:$A,0))&amp;" "&amp;INDEX(Maestro!$G:$G,MATCH($A127,Maestro!$A:$A,0)))),""))</f>
        <v/>
      </c>
      <c r="F127" s="13" t="str">
        <f aca="false">IF($A127="","",IFERROR(INDEX(Maestro!$H:$H,MATCH($A127,Maestro!$A:$A,0))&amp;"",""))</f>
        <v/>
      </c>
      <c r="G127" s="13" t="str">
        <f aca="false">IF($A127="","",IFERROR(INDEX(Maestro!$I:$I,MATCH($A127,Maestro!$A:$A,0))&amp;"",""))</f>
        <v/>
      </c>
      <c r="H127" s="14"/>
      <c r="I127" s="11"/>
    </row>
    <row r="128" customFormat="false" ht="15" hidden="false" customHeight="false" outlineLevel="0" collapsed="false">
      <c r="A128" s="11"/>
      <c r="B128" s="12"/>
      <c r="C128" s="13" t="str">
        <f aca="false">IF($A128="","",IFERROR(INDEX(Maestro!$C:$C,MATCH($A128,Maestro!$A:$A,0)),"Código no existe"))</f>
        <v/>
      </c>
      <c r="D128" s="13" t="str">
        <f aca="false">IF($A128="","",IFERROR(INDEX(Maestro!$D:$D,MATCH($A128,Maestro!$A:$A,0))&amp;"",""))</f>
        <v/>
      </c>
      <c r="E128" s="13" t="str">
        <f aca="false">IF($A128="","",IFERROR(IF(INDEX(Maestro!$I:$I,MATCH($A128,Maestro!$A:$A,0))="Peso","Por libra",TRIM(INDEX(Maestro!$E:$E,MATCH($A128,Maestro!$A:$A,0))&amp;" "&amp;INDEX(Maestro!$F:$F,MATCH($A128,Maestro!$A:$A,0))&amp;" "&amp;INDEX(Maestro!$G:$G,MATCH($A128,Maestro!$A:$A,0)))),""))</f>
        <v/>
      </c>
      <c r="F128" s="13" t="str">
        <f aca="false">IF($A128="","",IFERROR(INDEX(Maestro!$H:$H,MATCH($A128,Maestro!$A:$A,0))&amp;"",""))</f>
        <v/>
      </c>
      <c r="G128" s="13" t="str">
        <f aca="false">IF($A128="","",IFERROR(INDEX(Maestro!$I:$I,MATCH($A128,Maestro!$A:$A,0))&amp;"",""))</f>
        <v/>
      </c>
      <c r="H128" s="14"/>
      <c r="I128" s="11"/>
    </row>
    <row r="129" customFormat="false" ht="15" hidden="false" customHeight="false" outlineLevel="0" collapsed="false">
      <c r="A129" s="11"/>
      <c r="B129" s="12"/>
      <c r="C129" s="13" t="str">
        <f aca="false">IF($A129="","",IFERROR(INDEX(Maestro!$C:$C,MATCH($A129,Maestro!$A:$A,0)),"Código no existe"))</f>
        <v/>
      </c>
      <c r="D129" s="13" t="str">
        <f aca="false">IF($A129="","",IFERROR(INDEX(Maestro!$D:$D,MATCH($A129,Maestro!$A:$A,0))&amp;"",""))</f>
        <v/>
      </c>
      <c r="E129" s="13" t="str">
        <f aca="false">IF($A129="","",IFERROR(IF(INDEX(Maestro!$I:$I,MATCH($A129,Maestro!$A:$A,0))="Peso","Por libra",TRIM(INDEX(Maestro!$E:$E,MATCH($A129,Maestro!$A:$A,0))&amp;" "&amp;INDEX(Maestro!$F:$F,MATCH($A129,Maestro!$A:$A,0))&amp;" "&amp;INDEX(Maestro!$G:$G,MATCH($A129,Maestro!$A:$A,0)))),""))</f>
        <v/>
      </c>
      <c r="F129" s="13" t="str">
        <f aca="false">IF($A129="","",IFERROR(INDEX(Maestro!$H:$H,MATCH($A129,Maestro!$A:$A,0))&amp;"",""))</f>
        <v/>
      </c>
      <c r="G129" s="13" t="str">
        <f aca="false">IF($A129="","",IFERROR(INDEX(Maestro!$I:$I,MATCH($A129,Maestro!$A:$A,0))&amp;"",""))</f>
        <v/>
      </c>
      <c r="H129" s="14"/>
      <c r="I129" s="11"/>
    </row>
    <row r="130" customFormat="false" ht="15" hidden="false" customHeight="false" outlineLevel="0" collapsed="false">
      <c r="A130" s="11"/>
      <c r="B130" s="12"/>
      <c r="C130" s="13" t="str">
        <f aca="false">IF($A130="","",IFERROR(INDEX(Maestro!$C:$C,MATCH($A130,Maestro!$A:$A,0)),"Código no existe"))</f>
        <v/>
      </c>
      <c r="D130" s="13" t="str">
        <f aca="false">IF($A130="","",IFERROR(INDEX(Maestro!$D:$D,MATCH($A130,Maestro!$A:$A,0))&amp;"",""))</f>
        <v/>
      </c>
      <c r="E130" s="13" t="str">
        <f aca="false">IF($A130="","",IFERROR(IF(INDEX(Maestro!$I:$I,MATCH($A130,Maestro!$A:$A,0))="Peso","Por libra",TRIM(INDEX(Maestro!$E:$E,MATCH($A130,Maestro!$A:$A,0))&amp;" "&amp;INDEX(Maestro!$F:$F,MATCH($A130,Maestro!$A:$A,0))&amp;" "&amp;INDEX(Maestro!$G:$G,MATCH($A130,Maestro!$A:$A,0)))),""))</f>
        <v/>
      </c>
      <c r="F130" s="13" t="str">
        <f aca="false">IF($A130="","",IFERROR(INDEX(Maestro!$H:$H,MATCH($A130,Maestro!$A:$A,0))&amp;"",""))</f>
        <v/>
      </c>
      <c r="G130" s="13" t="str">
        <f aca="false">IF($A130="","",IFERROR(INDEX(Maestro!$I:$I,MATCH($A130,Maestro!$A:$A,0))&amp;"",""))</f>
        <v/>
      </c>
      <c r="H130" s="14"/>
      <c r="I130" s="11"/>
    </row>
    <row r="131" customFormat="false" ht="15" hidden="false" customHeight="false" outlineLevel="0" collapsed="false">
      <c r="A131" s="11"/>
      <c r="B131" s="12"/>
      <c r="C131" s="13" t="str">
        <f aca="false">IF($A131="","",IFERROR(INDEX(Maestro!$C:$C,MATCH($A131,Maestro!$A:$A,0)),"Código no existe"))</f>
        <v/>
      </c>
      <c r="D131" s="13" t="str">
        <f aca="false">IF($A131="","",IFERROR(INDEX(Maestro!$D:$D,MATCH($A131,Maestro!$A:$A,0))&amp;"",""))</f>
        <v/>
      </c>
      <c r="E131" s="13" t="str">
        <f aca="false">IF($A131="","",IFERROR(IF(INDEX(Maestro!$I:$I,MATCH($A131,Maestro!$A:$A,0))="Peso","Por libra",TRIM(INDEX(Maestro!$E:$E,MATCH($A131,Maestro!$A:$A,0))&amp;" "&amp;INDEX(Maestro!$F:$F,MATCH($A131,Maestro!$A:$A,0))&amp;" "&amp;INDEX(Maestro!$G:$G,MATCH($A131,Maestro!$A:$A,0)))),""))</f>
        <v/>
      </c>
      <c r="F131" s="13" t="str">
        <f aca="false">IF($A131="","",IFERROR(INDEX(Maestro!$H:$H,MATCH($A131,Maestro!$A:$A,0))&amp;"",""))</f>
        <v/>
      </c>
      <c r="G131" s="13" t="str">
        <f aca="false">IF($A131="","",IFERROR(INDEX(Maestro!$I:$I,MATCH($A131,Maestro!$A:$A,0))&amp;"",""))</f>
        <v/>
      </c>
      <c r="H131" s="14"/>
      <c r="I131" s="11"/>
    </row>
    <row r="132" customFormat="false" ht="15" hidden="false" customHeight="false" outlineLevel="0" collapsed="false">
      <c r="A132" s="11"/>
      <c r="B132" s="12"/>
      <c r="C132" s="13" t="str">
        <f aca="false">IF($A132="","",IFERROR(INDEX(Maestro!$C:$C,MATCH($A132,Maestro!$A:$A,0)),"Código no existe"))</f>
        <v/>
      </c>
      <c r="D132" s="13" t="str">
        <f aca="false">IF($A132="","",IFERROR(INDEX(Maestro!$D:$D,MATCH($A132,Maestro!$A:$A,0))&amp;"",""))</f>
        <v/>
      </c>
      <c r="E132" s="13" t="str">
        <f aca="false">IF($A132="","",IFERROR(IF(INDEX(Maestro!$I:$I,MATCH($A132,Maestro!$A:$A,0))="Peso","Por libra",TRIM(INDEX(Maestro!$E:$E,MATCH($A132,Maestro!$A:$A,0))&amp;" "&amp;INDEX(Maestro!$F:$F,MATCH($A132,Maestro!$A:$A,0))&amp;" "&amp;INDEX(Maestro!$G:$G,MATCH($A132,Maestro!$A:$A,0)))),""))</f>
        <v/>
      </c>
      <c r="F132" s="13" t="str">
        <f aca="false">IF($A132="","",IFERROR(INDEX(Maestro!$H:$H,MATCH($A132,Maestro!$A:$A,0))&amp;"",""))</f>
        <v/>
      </c>
      <c r="G132" s="13" t="str">
        <f aca="false">IF($A132="","",IFERROR(INDEX(Maestro!$I:$I,MATCH($A132,Maestro!$A:$A,0))&amp;"",""))</f>
        <v/>
      </c>
      <c r="H132" s="14"/>
      <c r="I132" s="11"/>
    </row>
    <row r="133" customFormat="false" ht="15" hidden="false" customHeight="false" outlineLevel="0" collapsed="false">
      <c r="A133" s="11"/>
      <c r="B133" s="12"/>
      <c r="C133" s="13" t="str">
        <f aca="false">IF($A133="","",IFERROR(INDEX(Maestro!$C:$C,MATCH($A133,Maestro!$A:$A,0)),"Código no existe"))</f>
        <v/>
      </c>
      <c r="D133" s="13" t="str">
        <f aca="false">IF($A133="","",IFERROR(INDEX(Maestro!$D:$D,MATCH($A133,Maestro!$A:$A,0))&amp;"",""))</f>
        <v/>
      </c>
      <c r="E133" s="13" t="str">
        <f aca="false">IF($A133="","",IFERROR(IF(INDEX(Maestro!$I:$I,MATCH($A133,Maestro!$A:$A,0))="Peso","Por libra",TRIM(INDEX(Maestro!$E:$E,MATCH($A133,Maestro!$A:$A,0))&amp;" "&amp;INDEX(Maestro!$F:$F,MATCH($A133,Maestro!$A:$A,0))&amp;" "&amp;INDEX(Maestro!$G:$G,MATCH($A133,Maestro!$A:$A,0)))),""))</f>
        <v/>
      </c>
      <c r="F133" s="13" t="str">
        <f aca="false">IF($A133="","",IFERROR(INDEX(Maestro!$H:$H,MATCH($A133,Maestro!$A:$A,0))&amp;"",""))</f>
        <v/>
      </c>
      <c r="G133" s="13" t="str">
        <f aca="false">IF($A133="","",IFERROR(INDEX(Maestro!$I:$I,MATCH($A133,Maestro!$A:$A,0))&amp;"",""))</f>
        <v/>
      </c>
      <c r="H133" s="14"/>
      <c r="I133" s="11"/>
    </row>
    <row r="134" customFormat="false" ht="15" hidden="false" customHeight="false" outlineLevel="0" collapsed="false">
      <c r="A134" s="11"/>
      <c r="B134" s="12"/>
      <c r="C134" s="13" t="str">
        <f aca="false">IF($A134="","",IFERROR(INDEX(Maestro!$C:$C,MATCH($A134,Maestro!$A:$A,0)),"Código no existe"))</f>
        <v/>
      </c>
      <c r="D134" s="13" t="str">
        <f aca="false">IF($A134="","",IFERROR(INDEX(Maestro!$D:$D,MATCH($A134,Maestro!$A:$A,0))&amp;"",""))</f>
        <v/>
      </c>
      <c r="E134" s="13" t="str">
        <f aca="false">IF($A134="","",IFERROR(IF(INDEX(Maestro!$I:$I,MATCH($A134,Maestro!$A:$A,0))="Peso","Por libra",TRIM(INDEX(Maestro!$E:$E,MATCH($A134,Maestro!$A:$A,0))&amp;" "&amp;INDEX(Maestro!$F:$F,MATCH($A134,Maestro!$A:$A,0))&amp;" "&amp;INDEX(Maestro!$G:$G,MATCH($A134,Maestro!$A:$A,0)))),""))</f>
        <v/>
      </c>
      <c r="F134" s="13" t="str">
        <f aca="false">IF($A134="","",IFERROR(INDEX(Maestro!$H:$H,MATCH($A134,Maestro!$A:$A,0))&amp;"",""))</f>
        <v/>
      </c>
      <c r="G134" s="13" t="str">
        <f aca="false">IF($A134="","",IFERROR(INDEX(Maestro!$I:$I,MATCH($A134,Maestro!$A:$A,0))&amp;"",""))</f>
        <v/>
      </c>
      <c r="H134" s="14"/>
      <c r="I134" s="11"/>
    </row>
    <row r="135" customFormat="false" ht="15" hidden="false" customHeight="false" outlineLevel="0" collapsed="false">
      <c r="A135" s="11"/>
      <c r="B135" s="12"/>
      <c r="C135" s="13" t="str">
        <f aca="false">IF($A135="","",IFERROR(INDEX(Maestro!$C:$C,MATCH($A135,Maestro!$A:$A,0)),"Código no existe"))</f>
        <v/>
      </c>
      <c r="D135" s="13" t="str">
        <f aca="false">IF($A135="","",IFERROR(INDEX(Maestro!$D:$D,MATCH($A135,Maestro!$A:$A,0))&amp;"",""))</f>
        <v/>
      </c>
      <c r="E135" s="13" t="str">
        <f aca="false">IF($A135="","",IFERROR(IF(INDEX(Maestro!$I:$I,MATCH($A135,Maestro!$A:$A,0))="Peso","Por libra",TRIM(INDEX(Maestro!$E:$E,MATCH($A135,Maestro!$A:$A,0))&amp;" "&amp;INDEX(Maestro!$F:$F,MATCH($A135,Maestro!$A:$A,0))&amp;" "&amp;INDEX(Maestro!$G:$G,MATCH($A135,Maestro!$A:$A,0)))),""))</f>
        <v/>
      </c>
      <c r="F135" s="13" t="str">
        <f aca="false">IF($A135="","",IFERROR(INDEX(Maestro!$H:$H,MATCH($A135,Maestro!$A:$A,0))&amp;"",""))</f>
        <v/>
      </c>
      <c r="G135" s="13" t="str">
        <f aca="false">IF($A135="","",IFERROR(INDEX(Maestro!$I:$I,MATCH($A135,Maestro!$A:$A,0))&amp;"",""))</f>
        <v/>
      </c>
      <c r="H135" s="14"/>
      <c r="I135" s="11"/>
    </row>
    <row r="136" customFormat="false" ht="15" hidden="false" customHeight="false" outlineLevel="0" collapsed="false">
      <c r="A136" s="11"/>
      <c r="B136" s="12"/>
      <c r="C136" s="13" t="str">
        <f aca="false">IF($A136="","",IFERROR(INDEX(Maestro!$C:$C,MATCH($A136,Maestro!$A:$A,0)),"Código no existe"))</f>
        <v/>
      </c>
      <c r="D136" s="13" t="str">
        <f aca="false">IF($A136="","",IFERROR(INDEX(Maestro!$D:$D,MATCH($A136,Maestro!$A:$A,0))&amp;"",""))</f>
        <v/>
      </c>
      <c r="E136" s="13" t="str">
        <f aca="false">IF($A136="","",IFERROR(IF(INDEX(Maestro!$I:$I,MATCH($A136,Maestro!$A:$A,0))="Peso","Por libra",TRIM(INDEX(Maestro!$E:$E,MATCH($A136,Maestro!$A:$A,0))&amp;" "&amp;INDEX(Maestro!$F:$F,MATCH($A136,Maestro!$A:$A,0))&amp;" "&amp;INDEX(Maestro!$G:$G,MATCH($A136,Maestro!$A:$A,0)))),""))</f>
        <v/>
      </c>
      <c r="F136" s="13" t="str">
        <f aca="false">IF($A136="","",IFERROR(INDEX(Maestro!$H:$H,MATCH($A136,Maestro!$A:$A,0))&amp;"",""))</f>
        <v/>
      </c>
      <c r="G136" s="13" t="str">
        <f aca="false">IF($A136="","",IFERROR(INDEX(Maestro!$I:$I,MATCH($A136,Maestro!$A:$A,0))&amp;"",""))</f>
        <v/>
      </c>
      <c r="H136" s="14"/>
      <c r="I136" s="11"/>
    </row>
    <row r="137" customFormat="false" ht="15" hidden="false" customHeight="false" outlineLevel="0" collapsed="false">
      <c r="A137" s="11"/>
      <c r="B137" s="12"/>
      <c r="C137" s="13" t="str">
        <f aca="false">IF($A137="","",IFERROR(INDEX(Maestro!$C:$C,MATCH($A137,Maestro!$A:$A,0)),"Código no existe"))</f>
        <v/>
      </c>
      <c r="D137" s="13" t="str">
        <f aca="false">IF($A137="","",IFERROR(INDEX(Maestro!$D:$D,MATCH($A137,Maestro!$A:$A,0))&amp;"",""))</f>
        <v/>
      </c>
      <c r="E137" s="13" t="str">
        <f aca="false">IF($A137="","",IFERROR(IF(INDEX(Maestro!$I:$I,MATCH($A137,Maestro!$A:$A,0))="Peso","Por libra",TRIM(INDEX(Maestro!$E:$E,MATCH($A137,Maestro!$A:$A,0))&amp;" "&amp;INDEX(Maestro!$F:$F,MATCH($A137,Maestro!$A:$A,0))&amp;" "&amp;INDEX(Maestro!$G:$G,MATCH($A137,Maestro!$A:$A,0)))),""))</f>
        <v/>
      </c>
      <c r="F137" s="13" t="str">
        <f aca="false">IF($A137="","",IFERROR(INDEX(Maestro!$H:$H,MATCH($A137,Maestro!$A:$A,0))&amp;"",""))</f>
        <v/>
      </c>
      <c r="G137" s="13" t="str">
        <f aca="false">IF($A137="","",IFERROR(INDEX(Maestro!$I:$I,MATCH($A137,Maestro!$A:$A,0))&amp;"",""))</f>
        <v/>
      </c>
      <c r="H137" s="14"/>
      <c r="I137" s="11"/>
    </row>
    <row r="138" customFormat="false" ht="15" hidden="false" customHeight="false" outlineLevel="0" collapsed="false">
      <c r="A138" s="11"/>
      <c r="B138" s="12"/>
      <c r="C138" s="13" t="str">
        <f aca="false">IF($A138="","",IFERROR(INDEX(Maestro!$C:$C,MATCH($A138,Maestro!$A:$A,0)),"Código no existe"))</f>
        <v/>
      </c>
      <c r="D138" s="13" t="str">
        <f aca="false">IF($A138="","",IFERROR(INDEX(Maestro!$D:$D,MATCH($A138,Maestro!$A:$A,0))&amp;"",""))</f>
        <v/>
      </c>
      <c r="E138" s="13" t="str">
        <f aca="false">IF($A138="","",IFERROR(IF(INDEX(Maestro!$I:$I,MATCH($A138,Maestro!$A:$A,0))="Peso","Por libra",TRIM(INDEX(Maestro!$E:$E,MATCH($A138,Maestro!$A:$A,0))&amp;" "&amp;INDEX(Maestro!$F:$F,MATCH($A138,Maestro!$A:$A,0))&amp;" "&amp;INDEX(Maestro!$G:$G,MATCH($A138,Maestro!$A:$A,0)))),""))</f>
        <v/>
      </c>
      <c r="F138" s="13" t="str">
        <f aca="false">IF($A138="","",IFERROR(INDEX(Maestro!$H:$H,MATCH($A138,Maestro!$A:$A,0))&amp;"",""))</f>
        <v/>
      </c>
      <c r="G138" s="13" t="str">
        <f aca="false">IF($A138="","",IFERROR(INDEX(Maestro!$I:$I,MATCH($A138,Maestro!$A:$A,0))&amp;"",""))</f>
        <v/>
      </c>
      <c r="H138" s="14"/>
      <c r="I138" s="11"/>
    </row>
    <row r="139" customFormat="false" ht="15" hidden="false" customHeight="false" outlineLevel="0" collapsed="false">
      <c r="A139" s="11"/>
      <c r="B139" s="12"/>
      <c r="C139" s="13" t="str">
        <f aca="false">IF($A139="","",IFERROR(INDEX(Maestro!$C:$C,MATCH($A139,Maestro!$A:$A,0)),"Código no existe"))</f>
        <v/>
      </c>
      <c r="D139" s="13" t="str">
        <f aca="false">IF($A139="","",IFERROR(INDEX(Maestro!$D:$D,MATCH($A139,Maestro!$A:$A,0))&amp;"",""))</f>
        <v/>
      </c>
      <c r="E139" s="13" t="str">
        <f aca="false">IF($A139="","",IFERROR(IF(INDEX(Maestro!$I:$I,MATCH($A139,Maestro!$A:$A,0))="Peso","Por libra",TRIM(INDEX(Maestro!$E:$E,MATCH($A139,Maestro!$A:$A,0))&amp;" "&amp;INDEX(Maestro!$F:$F,MATCH($A139,Maestro!$A:$A,0))&amp;" "&amp;INDEX(Maestro!$G:$G,MATCH($A139,Maestro!$A:$A,0)))),""))</f>
        <v/>
      </c>
      <c r="F139" s="13" t="str">
        <f aca="false">IF($A139="","",IFERROR(INDEX(Maestro!$H:$H,MATCH($A139,Maestro!$A:$A,0))&amp;"",""))</f>
        <v/>
      </c>
      <c r="G139" s="13" t="str">
        <f aca="false">IF($A139="","",IFERROR(INDEX(Maestro!$I:$I,MATCH($A139,Maestro!$A:$A,0))&amp;"",""))</f>
        <v/>
      </c>
      <c r="H139" s="14"/>
      <c r="I139" s="11"/>
    </row>
    <row r="140" customFormat="false" ht="15" hidden="false" customHeight="false" outlineLevel="0" collapsed="false">
      <c r="A140" s="11"/>
      <c r="B140" s="12"/>
      <c r="C140" s="13" t="str">
        <f aca="false">IF($A140="","",IFERROR(INDEX(Maestro!$C:$C,MATCH($A140,Maestro!$A:$A,0)),"Código no existe"))</f>
        <v/>
      </c>
      <c r="D140" s="13" t="str">
        <f aca="false">IF($A140="","",IFERROR(INDEX(Maestro!$D:$D,MATCH($A140,Maestro!$A:$A,0))&amp;"",""))</f>
        <v/>
      </c>
      <c r="E140" s="13" t="str">
        <f aca="false">IF($A140="","",IFERROR(IF(INDEX(Maestro!$I:$I,MATCH($A140,Maestro!$A:$A,0))="Peso","Por libra",TRIM(INDEX(Maestro!$E:$E,MATCH($A140,Maestro!$A:$A,0))&amp;" "&amp;INDEX(Maestro!$F:$F,MATCH($A140,Maestro!$A:$A,0))&amp;" "&amp;INDEX(Maestro!$G:$G,MATCH($A140,Maestro!$A:$A,0)))),""))</f>
        <v/>
      </c>
      <c r="F140" s="13" t="str">
        <f aca="false">IF($A140="","",IFERROR(INDEX(Maestro!$H:$H,MATCH($A140,Maestro!$A:$A,0))&amp;"",""))</f>
        <v/>
      </c>
      <c r="G140" s="13" t="str">
        <f aca="false">IF($A140="","",IFERROR(INDEX(Maestro!$I:$I,MATCH($A140,Maestro!$A:$A,0))&amp;"",""))</f>
        <v/>
      </c>
      <c r="H140" s="14"/>
      <c r="I140" s="11"/>
    </row>
    <row r="141" customFormat="false" ht="15" hidden="false" customHeight="false" outlineLevel="0" collapsed="false">
      <c r="A141" s="11"/>
      <c r="B141" s="12"/>
      <c r="C141" s="13" t="str">
        <f aca="false">IF($A141="","",IFERROR(INDEX(Maestro!$C:$C,MATCH($A141,Maestro!$A:$A,0)),"Código no existe"))</f>
        <v/>
      </c>
      <c r="D141" s="13" t="str">
        <f aca="false">IF($A141="","",IFERROR(INDEX(Maestro!$D:$D,MATCH($A141,Maestro!$A:$A,0))&amp;"",""))</f>
        <v/>
      </c>
      <c r="E141" s="13" t="str">
        <f aca="false">IF($A141="","",IFERROR(IF(INDEX(Maestro!$I:$I,MATCH($A141,Maestro!$A:$A,0))="Peso","Por libra",TRIM(INDEX(Maestro!$E:$E,MATCH($A141,Maestro!$A:$A,0))&amp;" "&amp;INDEX(Maestro!$F:$F,MATCH($A141,Maestro!$A:$A,0))&amp;" "&amp;INDEX(Maestro!$G:$G,MATCH($A141,Maestro!$A:$A,0)))),""))</f>
        <v/>
      </c>
      <c r="F141" s="13" t="str">
        <f aca="false">IF($A141="","",IFERROR(INDEX(Maestro!$H:$H,MATCH($A141,Maestro!$A:$A,0))&amp;"",""))</f>
        <v/>
      </c>
      <c r="G141" s="13" t="str">
        <f aca="false">IF($A141="","",IFERROR(INDEX(Maestro!$I:$I,MATCH($A141,Maestro!$A:$A,0))&amp;"",""))</f>
        <v/>
      </c>
      <c r="H141" s="14"/>
      <c r="I141" s="11"/>
    </row>
    <row r="142" customFormat="false" ht="15" hidden="false" customHeight="false" outlineLevel="0" collapsed="false">
      <c r="A142" s="11"/>
      <c r="B142" s="12"/>
      <c r="C142" s="13" t="str">
        <f aca="false">IF($A142="","",IFERROR(INDEX(Maestro!$C:$C,MATCH($A142,Maestro!$A:$A,0)),"Código no existe"))</f>
        <v/>
      </c>
      <c r="D142" s="13" t="str">
        <f aca="false">IF($A142="","",IFERROR(INDEX(Maestro!$D:$D,MATCH($A142,Maestro!$A:$A,0))&amp;"",""))</f>
        <v/>
      </c>
      <c r="E142" s="13" t="str">
        <f aca="false">IF($A142="","",IFERROR(IF(INDEX(Maestro!$I:$I,MATCH($A142,Maestro!$A:$A,0))="Peso","Por libra",TRIM(INDEX(Maestro!$E:$E,MATCH($A142,Maestro!$A:$A,0))&amp;" "&amp;INDEX(Maestro!$F:$F,MATCH($A142,Maestro!$A:$A,0))&amp;" "&amp;INDEX(Maestro!$G:$G,MATCH($A142,Maestro!$A:$A,0)))),""))</f>
        <v/>
      </c>
      <c r="F142" s="13" t="str">
        <f aca="false">IF($A142="","",IFERROR(INDEX(Maestro!$H:$H,MATCH($A142,Maestro!$A:$A,0))&amp;"",""))</f>
        <v/>
      </c>
      <c r="G142" s="13" t="str">
        <f aca="false">IF($A142="","",IFERROR(INDEX(Maestro!$I:$I,MATCH($A142,Maestro!$A:$A,0))&amp;"",""))</f>
        <v/>
      </c>
      <c r="H142" s="14"/>
      <c r="I142" s="11"/>
    </row>
    <row r="143" customFormat="false" ht="15" hidden="false" customHeight="false" outlineLevel="0" collapsed="false">
      <c r="A143" s="11"/>
      <c r="B143" s="12"/>
      <c r="C143" s="13" t="str">
        <f aca="false">IF($A143="","",IFERROR(INDEX(Maestro!$C:$C,MATCH($A143,Maestro!$A:$A,0)),"Código no existe"))</f>
        <v/>
      </c>
      <c r="D143" s="13" t="str">
        <f aca="false">IF($A143="","",IFERROR(INDEX(Maestro!$D:$D,MATCH($A143,Maestro!$A:$A,0))&amp;"",""))</f>
        <v/>
      </c>
      <c r="E143" s="13" t="str">
        <f aca="false">IF($A143="","",IFERROR(IF(INDEX(Maestro!$I:$I,MATCH($A143,Maestro!$A:$A,0))="Peso","Por libra",TRIM(INDEX(Maestro!$E:$E,MATCH($A143,Maestro!$A:$A,0))&amp;" "&amp;INDEX(Maestro!$F:$F,MATCH($A143,Maestro!$A:$A,0))&amp;" "&amp;INDEX(Maestro!$G:$G,MATCH($A143,Maestro!$A:$A,0)))),""))</f>
        <v/>
      </c>
      <c r="F143" s="13" t="str">
        <f aca="false">IF($A143="","",IFERROR(INDEX(Maestro!$H:$H,MATCH($A143,Maestro!$A:$A,0))&amp;"",""))</f>
        <v/>
      </c>
      <c r="G143" s="13" t="str">
        <f aca="false">IF($A143="","",IFERROR(INDEX(Maestro!$I:$I,MATCH($A143,Maestro!$A:$A,0))&amp;"",""))</f>
        <v/>
      </c>
      <c r="H143" s="14"/>
      <c r="I143" s="11"/>
    </row>
    <row r="144" customFormat="false" ht="15" hidden="false" customHeight="false" outlineLevel="0" collapsed="false">
      <c r="A144" s="11"/>
      <c r="B144" s="12"/>
      <c r="C144" s="13" t="str">
        <f aca="false">IF($A144="","",IFERROR(INDEX(Maestro!$C:$C,MATCH($A144,Maestro!$A:$A,0)),"Código no existe"))</f>
        <v/>
      </c>
      <c r="D144" s="13" t="str">
        <f aca="false">IF($A144="","",IFERROR(INDEX(Maestro!$D:$D,MATCH($A144,Maestro!$A:$A,0))&amp;"",""))</f>
        <v/>
      </c>
      <c r="E144" s="13" t="str">
        <f aca="false">IF($A144="","",IFERROR(IF(INDEX(Maestro!$I:$I,MATCH($A144,Maestro!$A:$A,0))="Peso","Por libra",TRIM(INDEX(Maestro!$E:$E,MATCH($A144,Maestro!$A:$A,0))&amp;" "&amp;INDEX(Maestro!$F:$F,MATCH($A144,Maestro!$A:$A,0))&amp;" "&amp;INDEX(Maestro!$G:$G,MATCH($A144,Maestro!$A:$A,0)))),""))</f>
        <v/>
      </c>
      <c r="F144" s="13" t="str">
        <f aca="false">IF($A144="","",IFERROR(INDEX(Maestro!$H:$H,MATCH($A144,Maestro!$A:$A,0))&amp;"",""))</f>
        <v/>
      </c>
      <c r="G144" s="13" t="str">
        <f aca="false">IF($A144="","",IFERROR(INDEX(Maestro!$I:$I,MATCH($A144,Maestro!$A:$A,0))&amp;"",""))</f>
        <v/>
      </c>
      <c r="H144" s="14"/>
      <c r="I144" s="11"/>
    </row>
    <row r="145" customFormat="false" ht="15" hidden="false" customHeight="false" outlineLevel="0" collapsed="false">
      <c r="A145" s="11"/>
      <c r="B145" s="12"/>
      <c r="C145" s="13" t="str">
        <f aca="false">IF($A145="","",IFERROR(INDEX(Maestro!$C:$C,MATCH($A145,Maestro!$A:$A,0)),"Código no existe"))</f>
        <v/>
      </c>
      <c r="D145" s="13" t="str">
        <f aca="false">IF($A145="","",IFERROR(INDEX(Maestro!$D:$D,MATCH($A145,Maestro!$A:$A,0))&amp;"",""))</f>
        <v/>
      </c>
      <c r="E145" s="13" t="str">
        <f aca="false">IF($A145="","",IFERROR(IF(INDEX(Maestro!$I:$I,MATCH($A145,Maestro!$A:$A,0))="Peso","Por libra",TRIM(INDEX(Maestro!$E:$E,MATCH($A145,Maestro!$A:$A,0))&amp;" "&amp;INDEX(Maestro!$F:$F,MATCH($A145,Maestro!$A:$A,0))&amp;" "&amp;INDEX(Maestro!$G:$G,MATCH($A145,Maestro!$A:$A,0)))),""))</f>
        <v/>
      </c>
      <c r="F145" s="13" t="str">
        <f aca="false">IF($A145="","",IFERROR(INDEX(Maestro!$H:$H,MATCH($A145,Maestro!$A:$A,0))&amp;"",""))</f>
        <v/>
      </c>
      <c r="G145" s="13" t="str">
        <f aca="false">IF($A145="","",IFERROR(INDEX(Maestro!$I:$I,MATCH($A145,Maestro!$A:$A,0))&amp;"",""))</f>
        <v/>
      </c>
      <c r="H145" s="14"/>
      <c r="I145" s="11"/>
    </row>
    <row r="146" customFormat="false" ht="15" hidden="false" customHeight="false" outlineLevel="0" collapsed="false">
      <c r="A146" s="11"/>
      <c r="B146" s="12"/>
      <c r="C146" s="13" t="str">
        <f aca="false">IF($A146="","",IFERROR(INDEX(Maestro!$C:$C,MATCH($A146,Maestro!$A:$A,0)),"Código no existe"))</f>
        <v/>
      </c>
      <c r="D146" s="13" t="str">
        <f aca="false">IF($A146="","",IFERROR(INDEX(Maestro!$D:$D,MATCH($A146,Maestro!$A:$A,0))&amp;"",""))</f>
        <v/>
      </c>
      <c r="E146" s="13" t="str">
        <f aca="false">IF($A146="","",IFERROR(IF(INDEX(Maestro!$I:$I,MATCH($A146,Maestro!$A:$A,0))="Peso","Por libra",TRIM(INDEX(Maestro!$E:$E,MATCH($A146,Maestro!$A:$A,0))&amp;" "&amp;INDEX(Maestro!$F:$F,MATCH($A146,Maestro!$A:$A,0))&amp;" "&amp;INDEX(Maestro!$G:$G,MATCH($A146,Maestro!$A:$A,0)))),""))</f>
        <v/>
      </c>
      <c r="F146" s="13" t="str">
        <f aca="false">IF($A146="","",IFERROR(INDEX(Maestro!$H:$H,MATCH($A146,Maestro!$A:$A,0))&amp;"",""))</f>
        <v/>
      </c>
      <c r="G146" s="13" t="str">
        <f aca="false">IF($A146="","",IFERROR(INDEX(Maestro!$I:$I,MATCH($A146,Maestro!$A:$A,0))&amp;"",""))</f>
        <v/>
      </c>
      <c r="H146" s="14"/>
      <c r="I146" s="11"/>
    </row>
    <row r="147" customFormat="false" ht="15" hidden="false" customHeight="false" outlineLevel="0" collapsed="false">
      <c r="A147" s="11"/>
      <c r="B147" s="12"/>
      <c r="C147" s="13" t="str">
        <f aca="false">IF($A147="","",IFERROR(INDEX(Maestro!$C:$C,MATCH($A147,Maestro!$A:$A,0)),"Código no existe"))</f>
        <v/>
      </c>
      <c r="D147" s="13" t="str">
        <f aca="false">IF($A147="","",IFERROR(INDEX(Maestro!$D:$D,MATCH($A147,Maestro!$A:$A,0))&amp;"",""))</f>
        <v/>
      </c>
      <c r="E147" s="13" t="str">
        <f aca="false">IF($A147="","",IFERROR(IF(INDEX(Maestro!$I:$I,MATCH($A147,Maestro!$A:$A,0))="Peso","Por libra",TRIM(INDEX(Maestro!$E:$E,MATCH($A147,Maestro!$A:$A,0))&amp;" "&amp;INDEX(Maestro!$F:$F,MATCH($A147,Maestro!$A:$A,0))&amp;" "&amp;INDEX(Maestro!$G:$G,MATCH($A147,Maestro!$A:$A,0)))),""))</f>
        <v/>
      </c>
      <c r="F147" s="13" t="str">
        <f aca="false">IF($A147="","",IFERROR(INDEX(Maestro!$H:$H,MATCH($A147,Maestro!$A:$A,0))&amp;"",""))</f>
        <v/>
      </c>
      <c r="G147" s="13" t="str">
        <f aca="false">IF($A147="","",IFERROR(INDEX(Maestro!$I:$I,MATCH($A147,Maestro!$A:$A,0))&amp;"",""))</f>
        <v/>
      </c>
      <c r="H147" s="14"/>
      <c r="I147" s="11"/>
    </row>
    <row r="148" customFormat="false" ht="15" hidden="false" customHeight="false" outlineLevel="0" collapsed="false">
      <c r="A148" s="11"/>
      <c r="B148" s="12"/>
      <c r="C148" s="13" t="str">
        <f aca="false">IF($A148="","",IFERROR(INDEX(Maestro!$C:$C,MATCH($A148,Maestro!$A:$A,0)),"Código no existe"))</f>
        <v/>
      </c>
      <c r="D148" s="13" t="str">
        <f aca="false">IF($A148="","",IFERROR(INDEX(Maestro!$D:$D,MATCH($A148,Maestro!$A:$A,0))&amp;"",""))</f>
        <v/>
      </c>
      <c r="E148" s="13" t="str">
        <f aca="false">IF($A148="","",IFERROR(IF(INDEX(Maestro!$I:$I,MATCH($A148,Maestro!$A:$A,0))="Peso","Por libra",TRIM(INDEX(Maestro!$E:$E,MATCH($A148,Maestro!$A:$A,0))&amp;" "&amp;INDEX(Maestro!$F:$F,MATCH($A148,Maestro!$A:$A,0))&amp;" "&amp;INDEX(Maestro!$G:$G,MATCH($A148,Maestro!$A:$A,0)))),""))</f>
        <v/>
      </c>
      <c r="F148" s="13" t="str">
        <f aca="false">IF($A148="","",IFERROR(INDEX(Maestro!$H:$H,MATCH($A148,Maestro!$A:$A,0))&amp;"",""))</f>
        <v/>
      </c>
      <c r="G148" s="13" t="str">
        <f aca="false">IF($A148="","",IFERROR(INDEX(Maestro!$I:$I,MATCH($A148,Maestro!$A:$A,0))&amp;"",""))</f>
        <v/>
      </c>
      <c r="H148" s="14"/>
      <c r="I148" s="11"/>
    </row>
    <row r="149" customFormat="false" ht="15" hidden="false" customHeight="false" outlineLevel="0" collapsed="false">
      <c r="A149" s="11"/>
      <c r="B149" s="12"/>
      <c r="C149" s="13" t="str">
        <f aca="false">IF($A149="","",IFERROR(INDEX(Maestro!$C:$C,MATCH($A149,Maestro!$A:$A,0)),"Código no existe"))</f>
        <v/>
      </c>
      <c r="D149" s="13" t="str">
        <f aca="false">IF($A149="","",IFERROR(INDEX(Maestro!$D:$D,MATCH($A149,Maestro!$A:$A,0))&amp;"",""))</f>
        <v/>
      </c>
      <c r="E149" s="13" t="str">
        <f aca="false">IF($A149="","",IFERROR(IF(INDEX(Maestro!$I:$I,MATCH($A149,Maestro!$A:$A,0))="Peso","Por libra",TRIM(INDEX(Maestro!$E:$E,MATCH($A149,Maestro!$A:$A,0))&amp;" "&amp;INDEX(Maestro!$F:$F,MATCH($A149,Maestro!$A:$A,0))&amp;" "&amp;INDEX(Maestro!$G:$G,MATCH($A149,Maestro!$A:$A,0)))),""))</f>
        <v/>
      </c>
      <c r="F149" s="13" t="str">
        <f aca="false">IF($A149="","",IFERROR(INDEX(Maestro!$H:$H,MATCH($A149,Maestro!$A:$A,0))&amp;"",""))</f>
        <v/>
      </c>
      <c r="G149" s="13" t="str">
        <f aca="false">IF($A149="","",IFERROR(INDEX(Maestro!$I:$I,MATCH($A149,Maestro!$A:$A,0))&amp;"",""))</f>
        <v/>
      </c>
      <c r="H149" s="14"/>
      <c r="I149" s="11"/>
    </row>
    <row r="150" customFormat="false" ht="15" hidden="false" customHeight="false" outlineLevel="0" collapsed="false">
      <c r="A150" s="11"/>
      <c r="B150" s="12"/>
      <c r="C150" s="13" t="str">
        <f aca="false">IF($A150="","",IFERROR(INDEX(Maestro!$C:$C,MATCH($A150,Maestro!$A:$A,0)),"Código no existe"))</f>
        <v/>
      </c>
      <c r="D150" s="13" t="str">
        <f aca="false">IF($A150="","",IFERROR(INDEX(Maestro!$D:$D,MATCH($A150,Maestro!$A:$A,0))&amp;"",""))</f>
        <v/>
      </c>
      <c r="E150" s="13" t="str">
        <f aca="false">IF($A150="","",IFERROR(IF(INDEX(Maestro!$I:$I,MATCH($A150,Maestro!$A:$A,0))="Peso","Por libra",TRIM(INDEX(Maestro!$E:$E,MATCH($A150,Maestro!$A:$A,0))&amp;" "&amp;INDEX(Maestro!$F:$F,MATCH($A150,Maestro!$A:$A,0))&amp;" "&amp;INDEX(Maestro!$G:$G,MATCH($A150,Maestro!$A:$A,0)))),""))</f>
        <v/>
      </c>
      <c r="F150" s="13" t="str">
        <f aca="false">IF($A150="","",IFERROR(INDEX(Maestro!$H:$H,MATCH($A150,Maestro!$A:$A,0))&amp;"",""))</f>
        <v/>
      </c>
      <c r="G150" s="13" t="str">
        <f aca="false">IF($A150="","",IFERROR(INDEX(Maestro!$I:$I,MATCH($A150,Maestro!$A:$A,0))&amp;"",""))</f>
        <v/>
      </c>
      <c r="H150" s="14"/>
      <c r="I150" s="11"/>
    </row>
    <row r="151" customFormat="false" ht="15" hidden="false" customHeight="false" outlineLevel="0" collapsed="false">
      <c r="A151" s="11"/>
      <c r="B151" s="12"/>
      <c r="C151" s="13" t="str">
        <f aca="false">IF($A151="","",IFERROR(INDEX(Maestro!$C:$C,MATCH($A151,Maestro!$A:$A,0)),"Código no existe"))</f>
        <v/>
      </c>
      <c r="D151" s="13" t="str">
        <f aca="false">IF($A151="","",IFERROR(INDEX(Maestro!$D:$D,MATCH($A151,Maestro!$A:$A,0))&amp;"",""))</f>
        <v/>
      </c>
      <c r="E151" s="13" t="str">
        <f aca="false">IF($A151="","",IFERROR(IF(INDEX(Maestro!$I:$I,MATCH($A151,Maestro!$A:$A,0))="Peso","Por libra",TRIM(INDEX(Maestro!$E:$E,MATCH($A151,Maestro!$A:$A,0))&amp;" "&amp;INDEX(Maestro!$F:$F,MATCH($A151,Maestro!$A:$A,0))&amp;" "&amp;INDEX(Maestro!$G:$G,MATCH($A151,Maestro!$A:$A,0)))),""))</f>
        <v/>
      </c>
      <c r="F151" s="13" t="str">
        <f aca="false">IF($A151="","",IFERROR(INDEX(Maestro!$H:$H,MATCH($A151,Maestro!$A:$A,0))&amp;"",""))</f>
        <v/>
      </c>
      <c r="G151" s="13" t="str">
        <f aca="false">IF($A151="","",IFERROR(INDEX(Maestro!$I:$I,MATCH($A151,Maestro!$A:$A,0))&amp;"",""))</f>
        <v/>
      </c>
      <c r="H151" s="14"/>
      <c r="I151" s="11"/>
    </row>
    <row r="152" customFormat="false" ht="15" hidden="false" customHeight="false" outlineLevel="0" collapsed="false">
      <c r="A152" s="11"/>
      <c r="B152" s="12"/>
      <c r="C152" s="13" t="str">
        <f aca="false">IF($A152="","",IFERROR(INDEX(Maestro!$C:$C,MATCH($A152,Maestro!$A:$A,0)),"Código no existe"))</f>
        <v/>
      </c>
      <c r="D152" s="13" t="str">
        <f aca="false">IF($A152="","",IFERROR(INDEX(Maestro!$D:$D,MATCH($A152,Maestro!$A:$A,0))&amp;"",""))</f>
        <v/>
      </c>
      <c r="E152" s="13" t="str">
        <f aca="false">IF($A152="","",IFERROR(IF(INDEX(Maestro!$I:$I,MATCH($A152,Maestro!$A:$A,0))="Peso","Por libra",TRIM(INDEX(Maestro!$E:$E,MATCH($A152,Maestro!$A:$A,0))&amp;" "&amp;INDEX(Maestro!$F:$F,MATCH($A152,Maestro!$A:$A,0))&amp;" "&amp;INDEX(Maestro!$G:$G,MATCH($A152,Maestro!$A:$A,0)))),""))</f>
        <v/>
      </c>
      <c r="F152" s="13" t="str">
        <f aca="false">IF($A152="","",IFERROR(INDEX(Maestro!$H:$H,MATCH($A152,Maestro!$A:$A,0))&amp;"",""))</f>
        <v/>
      </c>
      <c r="G152" s="13" t="str">
        <f aca="false">IF($A152="","",IFERROR(INDEX(Maestro!$I:$I,MATCH($A152,Maestro!$A:$A,0))&amp;"",""))</f>
        <v/>
      </c>
      <c r="H152" s="14"/>
      <c r="I152" s="11"/>
    </row>
    <row r="153" customFormat="false" ht="15" hidden="false" customHeight="false" outlineLevel="0" collapsed="false">
      <c r="A153" s="11"/>
      <c r="B153" s="12"/>
      <c r="C153" s="13" t="str">
        <f aca="false">IF($A153="","",IFERROR(INDEX(Maestro!$C:$C,MATCH($A153,Maestro!$A:$A,0)),"Código no existe"))</f>
        <v/>
      </c>
      <c r="D153" s="13" t="str">
        <f aca="false">IF($A153="","",IFERROR(INDEX(Maestro!$D:$D,MATCH($A153,Maestro!$A:$A,0))&amp;"",""))</f>
        <v/>
      </c>
      <c r="E153" s="13" t="str">
        <f aca="false">IF($A153="","",IFERROR(IF(INDEX(Maestro!$I:$I,MATCH($A153,Maestro!$A:$A,0))="Peso","Por libra",TRIM(INDEX(Maestro!$E:$E,MATCH($A153,Maestro!$A:$A,0))&amp;" "&amp;INDEX(Maestro!$F:$F,MATCH($A153,Maestro!$A:$A,0))&amp;" "&amp;INDEX(Maestro!$G:$G,MATCH($A153,Maestro!$A:$A,0)))),""))</f>
        <v/>
      </c>
      <c r="F153" s="13" t="str">
        <f aca="false">IF($A153="","",IFERROR(INDEX(Maestro!$H:$H,MATCH($A153,Maestro!$A:$A,0))&amp;"",""))</f>
        <v/>
      </c>
      <c r="G153" s="13" t="str">
        <f aca="false">IF($A153="","",IFERROR(INDEX(Maestro!$I:$I,MATCH($A153,Maestro!$A:$A,0))&amp;"",""))</f>
        <v/>
      </c>
      <c r="H153" s="14"/>
      <c r="I153" s="11"/>
    </row>
    <row r="154" customFormat="false" ht="15" hidden="false" customHeight="false" outlineLevel="0" collapsed="false">
      <c r="A154" s="11"/>
      <c r="B154" s="12"/>
      <c r="C154" s="13" t="str">
        <f aca="false">IF($A154="","",IFERROR(INDEX(Maestro!$C:$C,MATCH($A154,Maestro!$A:$A,0)),"Código no existe"))</f>
        <v/>
      </c>
      <c r="D154" s="13" t="str">
        <f aca="false">IF($A154="","",IFERROR(INDEX(Maestro!$D:$D,MATCH($A154,Maestro!$A:$A,0))&amp;"",""))</f>
        <v/>
      </c>
      <c r="E154" s="13" t="str">
        <f aca="false">IF($A154="","",IFERROR(IF(INDEX(Maestro!$I:$I,MATCH($A154,Maestro!$A:$A,0))="Peso","Por libra",TRIM(INDEX(Maestro!$E:$E,MATCH($A154,Maestro!$A:$A,0))&amp;" "&amp;INDEX(Maestro!$F:$F,MATCH($A154,Maestro!$A:$A,0))&amp;" "&amp;INDEX(Maestro!$G:$G,MATCH($A154,Maestro!$A:$A,0)))),""))</f>
        <v/>
      </c>
      <c r="F154" s="13" t="str">
        <f aca="false">IF($A154="","",IFERROR(INDEX(Maestro!$H:$H,MATCH($A154,Maestro!$A:$A,0))&amp;"",""))</f>
        <v/>
      </c>
      <c r="G154" s="13" t="str">
        <f aca="false">IF($A154="","",IFERROR(INDEX(Maestro!$I:$I,MATCH($A154,Maestro!$A:$A,0))&amp;"",""))</f>
        <v/>
      </c>
      <c r="H154" s="14"/>
      <c r="I154" s="11"/>
    </row>
    <row r="155" customFormat="false" ht="15" hidden="false" customHeight="false" outlineLevel="0" collapsed="false">
      <c r="A155" s="11"/>
      <c r="B155" s="12"/>
      <c r="C155" s="13" t="str">
        <f aca="false">IF($A155="","",IFERROR(INDEX(Maestro!$C:$C,MATCH($A155,Maestro!$A:$A,0)),"Código no existe"))</f>
        <v/>
      </c>
      <c r="D155" s="13" t="str">
        <f aca="false">IF($A155="","",IFERROR(INDEX(Maestro!$D:$D,MATCH($A155,Maestro!$A:$A,0))&amp;"",""))</f>
        <v/>
      </c>
      <c r="E155" s="13" t="str">
        <f aca="false">IF($A155="","",IFERROR(IF(INDEX(Maestro!$I:$I,MATCH($A155,Maestro!$A:$A,0))="Peso","Por libra",TRIM(INDEX(Maestro!$E:$E,MATCH($A155,Maestro!$A:$A,0))&amp;" "&amp;INDEX(Maestro!$F:$F,MATCH($A155,Maestro!$A:$A,0))&amp;" "&amp;INDEX(Maestro!$G:$G,MATCH($A155,Maestro!$A:$A,0)))),""))</f>
        <v/>
      </c>
      <c r="F155" s="13" t="str">
        <f aca="false">IF($A155="","",IFERROR(INDEX(Maestro!$H:$H,MATCH($A155,Maestro!$A:$A,0))&amp;"",""))</f>
        <v/>
      </c>
      <c r="G155" s="13" t="str">
        <f aca="false">IF($A155="","",IFERROR(INDEX(Maestro!$I:$I,MATCH($A155,Maestro!$A:$A,0))&amp;"",""))</f>
        <v/>
      </c>
      <c r="H155" s="14"/>
      <c r="I155" s="11"/>
    </row>
    <row r="156" customFormat="false" ht="15" hidden="false" customHeight="false" outlineLevel="0" collapsed="false">
      <c r="A156" s="11"/>
      <c r="B156" s="12"/>
      <c r="C156" s="13" t="str">
        <f aca="false">IF($A156="","",IFERROR(INDEX(Maestro!$C:$C,MATCH($A156,Maestro!$A:$A,0)),"Código no existe"))</f>
        <v/>
      </c>
      <c r="D156" s="13" t="str">
        <f aca="false">IF($A156="","",IFERROR(INDEX(Maestro!$D:$D,MATCH($A156,Maestro!$A:$A,0))&amp;"",""))</f>
        <v/>
      </c>
      <c r="E156" s="13" t="str">
        <f aca="false">IF($A156="","",IFERROR(IF(INDEX(Maestro!$I:$I,MATCH($A156,Maestro!$A:$A,0))="Peso","Por libra",TRIM(INDEX(Maestro!$E:$E,MATCH($A156,Maestro!$A:$A,0))&amp;" "&amp;INDEX(Maestro!$F:$F,MATCH($A156,Maestro!$A:$A,0))&amp;" "&amp;INDEX(Maestro!$G:$G,MATCH($A156,Maestro!$A:$A,0)))),""))</f>
        <v/>
      </c>
      <c r="F156" s="13" t="str">
        <f aca="false">IF($A156="","",IFERROR(INDEX(Maestro!$H:$H,MATCH($A156,Maestro!$A:$A,0))&amp;"",""))</f>
        <v/>
      </c>
      <c r="G156" s="13" t="str">
        <f aca="false">IF($A156="","",IFERROR(INDEX(Maestro!$I:$I,MATCH($A156,Maestro!$A:$A,0))&amp;"",""))</f>
        <v/>
      </c>
      <c r="H156" s="14"/>
      <c r="I156" s="11"/>
    </row>
    <row r="157" customFormat="false" ht="15" hidden="false" customHeight="false" outlineLevel="0" collapsed="false">
      <c r="A157" s="11"/>
      <c r="B157" s="12"/>
      <c r="C157" s="13" t="str">
        <f aca="false">IF($A157="","",IFERROR(INDEX(Maestro!$C:$C,MATCH($A157,Maestro!$A:$A,0)),"Código no existe"))</f>
        <v/>
      </c>
      <c r="D157" s="13" t="str">
        <f aca="false">IF($A157="","",IFERROR(INDEX(Maestro!$D:$D,MATCH($A157,Maestro!$A:$A,0))&amp;"",""))</f>
        <v/>
      </c>
      <c r="E157" s="13" t="str">
        <f aca="false">IF($A157="","",IFERROR(IF(INDEX(Maestro!$I:$I,MATCH($A157,Maestro!$A:$A,0))="Peso","Por libra",TRIM(INDEX(Maestro!$E:$E,MATCH($A157,Maestro!$A:$A,0))&amp;" "&amp;INDEX(Maestro!$F:$F,MATCH($A157,Maestro!$A:$A,0))&amp;" "&amp;INDEX(Maestro!$G:$G,MATCH($A157,Maestro!$A:$A,0)))),""))</f>
        <v/>
      </c>
      <c r="F157" s="13" t="str">
        <f aca="false">IF($A157="","",IFERROR(INDEX(Maestro!$H:$H,MATCH($A157,Maestro!$A:$A,0))&amp;"",""))</f>
        <v/>
      </c>
      <c r="G157" s="13" t="str">
        <f aca="false">IF($A157="","",IFERROR(INDEX(Maestro!$I:$I,MATCH($A157,Maestro!$A:$A,0))&amp;"",""))</f>
        <v/>
      </c>
      <c r="H157" s="14"/>
      <c r="I157" s="11"/>
    </row>
    <row r="158" customFormat="false" ht="15" hidden="false" customHeight="false" outlineLevel="0" collapsed="false">
      <c r="A158" s="11"/>
      <c r="B158" s="12"/>
      <c r="C158" s="13" t="str">
        <f aca="false">IF($A158="","",IFERROR(INDEX(Maestro!$C:$C,MATCH($A158,Maestro!$A:$A,0)),"Código no existe"))</f>
        <v/>
      </c>
      <c r="D158" s="13" t="str">
        <f aca="false">IF($A158="","",IFERROR(INDEX(Maestro!$D:$D,MATCH($A158,Maestro!$A:$A,0))&amp;"",""))</f>
        <v/>
      </c>
      <c r="E158" s="13" t="str">
        <f aca="false">IF($A158="","",IFERROR(IF(INDEX(Maestro!$I:$I,MATCH($A158,Maestro!$A:$A,0))="Peso","Por libra",TRIM(INDEX(Maestro!$E:$E,MATCH($A158,Maestro!$A:$A,0))&amp;" "&amp;INDEX(Maestro!$F:$F,MATCH($A158,Maestro!$A:$A,0))&amp;" "&amp;INDEX(Maestro!$G:$G,MATCH($A158,Maestro!$A:$A,0)))),""))</f>
        <v/>
      </c>
      <c r="F158" s="13" t="str">
        <f aca="false">IF($A158="","",IFERROR(INDEX(Maestro!$H:$H,MATCH($A158,Maestro!$A:$A,0))&amp;"",""))</f>
        <v/>
      </c>
      <c r="G158" s="13" t="str">
        <f aca="false">IF($A158="","",IFERROR(INDEX(Maestro!$I:$I,MATCH($A158,Maestro!$A:$A,0))&amp;"",""))</f>
        <v/>
      </c>
      <c r="H158" s="14"/>
      <c r="I158" s="11"/>
    </row>
    <row r="159" customFormat="false" ht="15" hidden="false" customHeight="false" outlineLevel="0" collapsed="false">
      <c r="A159" s="11"/>
      <c r="B159" s="12"/>
      <c r="C159" s="13" t="str">
        <f aca="false">IF($A159="","",IFERROR(INDEX(Maestro!$C:$C,MATCH($A159,Maestro!$A:$A,0)),"Código no existe"))</f>
        <v/>
      </c>
      <c r="D159" s="13" t="str">
        <f aca="false">IF($A159="","",IFERROR(INDEX(Maestro!$D:$D,MATCH($A159,Maestro!$A:$A,0))&amp;"",""))</f>
        <v/>
      </c>
      <c r="E159" s="13" t="str">
        <f aca="false">IF($A159="","",IFERROR(IF(INDEX(Maestro!$I:$I,MATCH($A159,Maestro!$A:$A,0))="Peso","Por libra",TRIM(INDEX(Maestro!$E:$E,MATCH($A159,Maestro!$A:$A,0))&amp;" "&amp;INDEX(Maestro!$F:$F,MATCH($A159,Maestro!$A:$A,0))&amp;" "&amp;INDEX(Maestro!$G:$G,MATCH($A159,Maestro!$A:$A,0)))),""))</f>
        <v/>
      </c>
      <c r="F159" s="13" t="str">
        <f aca="false">IF($A159="","",IFERROR(INDEX(Maestro!$H:$H,MATCH($A159,Maestro!$A:$A,0))&amp;"",""))</f>
        <v/>
      </c>
      <c r="G159" s="13" t="str">
        <f aca="false">IF($A159="","",IFERROR(INDEX(Maestro!$I:$I,MATCH($A159,Maestro!$A:$A,0))&amp;"",""))</f>
        <v/>
      </c>
      <c r="H159" s="14"/>
      <c r="I159" s="11"/>
    </row>
    <row r="160" customFormat="false" ht="15" hidden="false" customHeight="false" outlineLevel="0" collapsed="false">
      <c r="A160" s="11"/>
      <c r="B160" s="12"/>
      <c r="C160" s="13" t="str">
        <f aca="false">IF($A160="","",IFERROR(INDEX(Maestro!$C:$C,MATCH($A160,Maestro!$A:$A,0)),"Código no existe"))</f>
        <v/>
      </c>
      <c r="D160" s="13" t="str">
        <f aca="false">IF($A160="","",IFERROR(INDEX(Maestro!$D:$D,MATCH($A160,Maestro!$A:$A,0))&amp;"",""))</f>
        <v/>
      </c>
      <c r="E160" s="13" t="str">
        <f aca="false">IF($A160="","",IFERROR(IF(INDEX(Maestro!$I:$I,MATCH($A160,Maestro!$A:$A,0))="Peso","Por libra",TRIM(INDEX(Maestro!$E:$E,MATCH($A160,Maestro!$A:$A,0))&amp;" "&amp;INDEX(Maestro!$F:$F,MATCH($A160,Maestro!$A:$A,0))&amp;" "&amp;INDEX(Maestro!$G:$G,MATCH($A160,Maestro!$A:$A,0)))),""))</f>
        <v/>
      </c>
      <c r="F160" s="13" t="str">
        <f aca="false">IF($A160="","",IFERROR(INDEX(Maestro!$H:$H,MATCH($A160,Maestro!$A:$A,0))&amp;"",""))</f>
        <v/>
      </c>
      <c r="G160" s="13" t="str">
        <f aca="false">IF($A160="","",IFERROR(INDEX(Maestro!$I:$I,MATCH($A160,Maestro!$A:$A,0))&amp;"",""))</f>
        <v/>
      </c>
      <c r="H160" s="14"/>
      <c r="I160" s="11"/>
    </row>
    <row r="161" customFormat="false" ht="15" hidden="false" customHeight="false" outlineLevel="0" collapsed="false">
      <c r="A161" s="11"/>
      <c r="B161" s="12"/>
      <c r="C161" s="13" t="str">
        <f aca="false">IF($A161="","",IFERROR(INDEX(Maestro!$C:$C,MATCH($A161,Maestro!$A:$A,0)),"Código no existe"))</f>
        <v/>
      </c>
      <c r="D161" s="13" t="str">
        <f aca="false">IF($A161="","",IFERROR(INDEX(Maestro!$D:$D,MATCH($A161,Maestro!$A:$A,0))&amp;"",""))</f>
        <v/>
      </c>
      <c r="E161" s="13" t="str">
        <f aca="false">IF($A161="","",IFERROR(IF(INDEX(Maestro!$I:$I,MATCH($A161,Maestro!$A:$A,0))="Peso","Por libra",TRIM(INDEX(Maestro!$E:$E,MATCH($A161,Maestro!$A:$A,0))&amp;" "&amp;INDEX(Maestro!$F:$F,MATCH($A161,Maestro!$A:$A,0))&amp;" "&amp;INDEX(Maestro!$G:$G,MATCH($A161,Maestro!$A:$A,0)))),""))</f>
        <v/>
      </c>
      <c r="F161" s="13" t="str">
        <f aca="false">IF($A161="","",IFERROR(INDEX(Maestro!$H:$H,MATCH($A161,Maestro!$A:$A,0))&amp;"",""))</f>
        <v/>
      </c>
      <c r="G161" s="13" t="str">
        <f aca="false">IF($A161="","",IFERROR(INDEX(Maestro!$I:$I,MATCH($A161,Maestro!$A:$A,0))&amp;"",""))</f>
        <v/>
      </c>
      <c r="H161" s="14"/>
      <c r="I161" s="11"/>
    </row>
    <row r="162" customFormat="false" ht="15" hidden="false" customHeight="false" outlineLevel="0" collapsed="false">
      <c r="A162" s="11"/>
      <c r="B162" s="12"/>
      <c r="C162" s="13" t="str">
        <f aca="false">IF($A162="","",IFERROR(INDEX(Maestro!$C:$C,MATCH($A162,Maestro!$A:$A,0)),"Código no existe"))</f>
        <v/>
      </c>
      <c r="D162" s="13" t="str">
        <f aca="false">IF($A162="","",IFERROR(INDEX(Maestro!$D:$D,MATCH($A162,Maestro!$A:$A,0))&amp;"",""))</f>
        <v/>
      </c>
      <c r="E162" s="13" t="str">
        <f aca="false">IF($A162="","",IFERROR(IF(INDEX(Maestro!$I:$I,MATCH($A162,Maestro!$A:$A,0))="Peso","Por libra",TRIM(INDEX(Maestro!$E:$E,MATCH($A162,Maestro!$A:$A,0))&amp;" "&amp;INDEX(Maestro!$F:$F,MATCH($A162,Maestro!$A:$A,0))&amp;" "&amp;INDEX(Maestro!$G:$G,MATCH($A162,Maestro!$A:$A,0)))),""))</f>
        <v/>
      </c>
      <c r="F162" s="13" t="str">
        <f aca="false">IF($A162="","",IFERROR(INDEX(Maestro!$H:$H,MATCH($A162,Maestro!$A:$A,0))&amp;"",""))</f>
        <v/>
      </c>
      <c r="G162" s="13" t="str">
        <f aca="false">IF($A162="","",IFERROR(INDEX(Maestro!$I:$I,MATCH($A162,Maestro!$A:$A,0))&amp;"",""))</f>
        <v/>
      </c>
      <c r="H162" s="14"/>
      <c r="I162" s="11"/>
    </row>
    <row r="163" customFormat="false" ht="15" hidden="false" customHeight="false" outlineLevel="0" collapsed="false">
      <c r="A163" s="11"/>
      <c r="B163" s="12"/>
      <c r="C163" s="13" t="str">
        <f aca="false">IF($A163="","",IFERROR(INDEX(Maestro!$C:$C,MATCH($A163,Maestro!$A:$A,0)),"Código no existe"))</f>
        <v/>
      </c>
      <c r="D163" s="13" t="str">
        <f aca="false">IF($A163="","",IFERROR(INDEX(Maestro!$D:$D,MATCH($A163,Maestro!$A:$A,0))&amp;"",""))</f>
        <v/>
      </c>
      <c r="E163" s="13" t="str">
        <f aca="false">IF($A163="","",IFERROR(IF(INDEX(Maestro!$I:$I,MATCH($A163,Maestro!$A:$A,0))="Peso","Por libra",TRIM(INDEX(Maestro!$E:$E,MATCH($A163,Maestro!$A:$A,0))&amp;" "&amp;INDEX(Maestro!$F:$F,MATCH($A163,Maestro!$A:$A,0))&amp;" "&amp;INDEX(Maestro!$G:$G,MATCH($A163,Maestro!$A:$A,0)))),""))</f>
        <v/>
      </c>
      <c r="F163" s="13" t="str">
        <f aca="false">IF($A163="","",IFERROR(INDEX(Maestro!$H:$H,MATCH($A163,Maestro!$A:$A,0))&amp;"",""))</f>
        <v/>
      </c>
      <c r="G163" s="13" t="str">
        <f aca="false">IF($A163="","",IFERROR(INDEX(Maestro!$I:$I,MATCH($A163,Maestro!$A:$A,0))&amp;"",""))</f>
        <v/>
      </c>
      <c r="H163" s="14"/>
      <c r="I163" s="11"/>
    </row>
    <row r="164" customFormat="false" ht="15" hidden="false" customHeight="false" outlineLevel="0" collapsed="false">
      <c r="A164" s="11"/>
      <c r="B164" s="12"/>
      <c r="C164" s="13" t="str">
        <f aca="false">IF($A164="","",IFERROR(INDEX(Maestro!$C:$C,MATCH($A164,Maestro!$A:$A,0)),"Código no existe"))</f>
        <v/>
      </c>
      <c r="D164" s="13" t="str">
        <f aca="false">IF($A164="","",IFERROR(INDEX(Maestro!$D:$D,MATCH($A164,Maestro!$A:$A,0))&amp;"",""))</f>
        <v/>
      </c>
      <c r="E164" s="13" t="str">
        <f aca="false">IF($A164="","",IFERROR(IF(INDEX(Maestro!$I:$I,MATCH($A164,Maestro!$A:$A,0))="Peso","Por libra",TRIM(INDEX(Maestro!$E:$E,MATCH($A164,Maestro!$A:$A,0))&amp;" "&amp;INDEX(Maestro!$F:$F,MATCH($A164,Maestro!$A:$A,0))&amp;" "&amp;INDEX(Maestro!$G:$G,MATCH($A164,Maestro!$A:$A,0)))),""))</f>
        <v/>
      </c>
      <c r="F164" s="13" t="str">
        <f aca="false">IF($A164="","",IFERROR(INDEX(Maestro!$H:$H,MATCH($A164,Maestro!$A:$A,0))&amp;"",""))</f>
        <v/>
      </c>
      <c r="G164" s="13" t="str">
        <f aca="false">IF($A164="","",IFERROR(INDEX(Maestro!$I:$I,MATCH($A164,Maestro!$A:$A,0))&amp;"",""))</f>
        <v/>
      </c>
      <c r="H164" s="14"/>
      <c r="I164" s="11"/>
    </row>
    <row r="165" customFormat="false" ht="15" hidden="false" customHeight="false" outlineLevel="0" collapsed="false">
      <c r="A165" s="11"/>
      <c r="B165" s="12"/>
      <c r="C165" s="13" t="str">
        <f aca="false">IF($A165="","",IFERROR(INDEX(Maestro!$C:$C,MATCH($A165,Maestro!$A:$A,0)),"Código no existe"))</f>
        <v/>
      </c>
      <c r="D165" s="13" t="str">
        <f aca="false">IF($A165="","",IFERROR(INDEX(Maestro!$D:$D,MATCH($A165,Maestro!$A:$A,0))&amp;"",""))</f>
        <v/>
      </c>
      <c r="E165" s="13" t="str">
        <f aca="false">IF($A165="","",IFERROR(IF(INDEX(Maestro!$I:$I,MATCH($A165,Maestro!$A:$A,0))="Peso","Por libra",TRIM(INDEX(Maestro!$E:$E,MATCH($A165,Maestro!$A:$A,0))&amp;" "&amp;INDEX(Maestro!$F:$F,MATCH($A165,Maestro!$A:$A,0))&amp;" "&amp;INDEX(Maestro!$G:$G,MATCH($A165,Maestro!$A:$A,0)))),""))</f>
        <v/>
      </c>
      <c r="F165" s="13" t="str">
        <f aca="false">IF($A165="","",IFERROR(INDEX(Maestro!$H:$H,MATCH($A165,Maestro!$A:$A,0))&amp;"",""))</f>
        <v/>
      </c>
      <c r="G165" s="13" t="str">
        <f aca="false">IF($A165="","",IFERROR(INDEX(Maestro!$I:$I,MATCH($A165,Maestro!$A:$A,0))&amp;"",""))</f>
        <v/>
      </c>
      <c r="H165" s="14"/>
      <c r="I165" s="11"/>
    </row>
    <row r="166" customFormat="false" ht="15" hidden="false" customHeight="false" outlineLevel="0" collapsed="false">
      <c r="A166" s="11"/>
      <c r="B166" s="12"/>
      <c r="C166" s="13" t="str">
        <f aca="false">IF($A166="","",IFERROR(INDEX(Maestro!$C:$C,MATCH($A166,Maestro!$A:$A,0)),"Código no existe"))</f>
        <v/>
      </c>
      <c r="D166" s="13" t="str">
        <f aca="false">IF($A166="","",IFERROR(INDEX(Maestro!$D:$D,MATCH($A166,Maestro!$A:$A,0))&amp;"",""))</f>
        <v/>
      </c>
      <c r="E166" s="13" t="str">
        <f aca="false">IF($A166="","",IFERROR(IF(INDEX(Maestro!$I:$I,MATCH($A166,Maestro!$A:$A,0))="Peso","Por libra",TRIM(INDEX(Maestro!$E:$E,MATCH($A166,Maestro!$A:$A,0))&amp;" "&amp;INDEX(Maestro!$F:$F,MATCH($A166,Maestro!$A:$A,0))&amp;" "&amp;INDEX(Maestro!$G:$G,MATCH($A166,Maestro!$A:$A,0)))),""))</f>
        <v/>
      </c>
      <c r="F166" s="13" t="str">
        <f aca="false">IF($A166="","",IFERROR(INDEX(Maestro!$H:$H,MATCH($A166,Maestro!$A:$A,0))&amp;"",""))</f>
        <v/>
      </c>
      <c r="G166" s="13" t="str">
        <f aca="false">IF($A166="","",IFERROR(INDEX(Maestro!$I:$I,MATCH($A166,Maestro!$A:$A,0))&amp;"",""))</f>
        <v/>
      </c>
      <c r="H166" s="14"/>
      <c r="I166" s="11"/>
    </row>
    <row r="167" customFormat="false" ht="15" hidden="false" customHeight="false" outlineLevel="0" collapsed="false">
      <c r="A167" s="11"/>
      <c r="B167" s="12"/>
      <c r="C167" s="13" t="str">
        <f aca="false">IF($A167="","",IFERROR(INDEX(Maestro!$C:$C,MATCH($A167,Maestro!$A:$A,0)),"Código no existe"))</f>
        <v/>
      </c>
      <c r="D167" s="13" t="str">
        <f aca="false">IF($A167="","",IFERROR(INDEX(Maestro!$D:$D,MATCH($A167,Maestro!$A:$A,0))&amp;"",""))</f>
        <v/>
      </c>
      <c r="E167" s="13" t="str">
        <f aca="false">IF($A167="","",IFERROR(IF(INDEX(Maestro!$I:$I,MATCH($A167,Maestro!$A:$A,0))="Peso","Por libra",TRIM(INDEX(Maestro!$E:$E,MATCH($A167,Maestro!$A:$A,0))&amp;" "&amp;INDEX(Maestro!$F:$F,MATCH($A167,Maestro!$A:$A,0))&amp;" "&amp;INDEX(Maestro!$G:$G,MATCH($A167,Maestro!$A:$A,0)))),""))</f>
        <v/>
      </c>
      <c r="F167" s="13" t="str">
        <f aca="false">IF($A167="","",IFERROR(INDEX(Maestro!$H:$H,MATCH($A167,Maestro!$A:$A,0))&amp;"",""))</f>
        <v/>
      </c>
      <c r="G167" s="13" t="str">
        <f aca="false">IF($A167="","",IFERROR(INDEX(Maestro!$I:$I,MATCH($A167,Maestro!$A:$A,0))&amp;"",""))</f>
        <v/>
      </c>
      <c r="H167" s="14"/>
      <c r="I167" s="11"/>
    </row>
    <row r="168" customFormat="false" ht="15" hidden="false" customHeight="false" outlineLevel="0" collapsed="false">
      <c r="A168" s="11"/>
      <c r="B168" s="12"/>
      <c r="C168" s="13" t="str">
        <f aca="false">IF($A168="","",IFERROR(INDEX(Maestro!$C:$C,MATCH($A168,Maestro!$A:$A,0)),"Código no existe"))</f>
        <v/>
      </c>
      <c r="D168" s="13" t="str">
        <f aca="false">IF($A168="","",IFERROR(INDEX(Maestro!$D:$D,MATCH($A168,Maestro!$A:$A,0))&amp;"",""))</f>
        <v/>
      </c>
      <c r="E168" s="13" t="str">
        <f aca="false">IF($A168="","",IFERROR(IF(INDEX(Maestro!$I:$I,MATCH($A168,Maestro!$A:$A,0))="Peso","Por libra",TRIM(INDEX(Maestro!$E:$E,MATCH($A168,Maestro!$A:$A,0))&amp;" "&amp;INDEX(Maestro!$F:$F,MATCH($A168,Maestro!$A:$A,0))&amp;" "&amp;INDEX(Maestro!$G:$G,MATCH($A168,Maestro!$A:$A,0)))),""))</f>
        <v/>
      </c>
      <c r="F168" s="13" t="str">
        <f aca="false">IF($A168="","",IFERROR(INDEX(Maestro!$H:$H,MATCH($A168,Maestro!$A:$A,0))&amp;"",""))</f>
        <v/>
      </c>
      <c r="G168" s="13" t="str">
        <f aca="false">IF($A168="","",IFERROR(INDEX(Maestro!$I:$I,MATCH($A168,Maestro!$A:$A,0))&amp;"",""))</f>
        <v/>
      </c>
      <c r="H168" s="14"/>
      <c r="I168" s="11"/>
    </row>
    <row r="169" customFormat="false" ht="15" hidden="false" customHeight="false" outlineLevel="0" collapsed="false">
      <c r="A169" s="11"/>
      <c r="B169" s="12"/>
      <c r="C169" s="13" t="str">
        <f aca="false">IF($A169="","",IFERROR(INDEX(Maestro!$C:$C,MATCH($A169,Maestro!$A:$A,0)),"Código no existe"))</f>
        <v/>
      </c>
      <c r="D169" s="13" t="str">
        <f aca="false">IF($A169="","",IFERROR(INDEX(Maestro!$D:$D,MATCH($A169,Maestro!$A:$A,0))&amp;"",""))</f>
        <v/>
      </c>
      <c r="E169" s="13" t="str">
        <f aca="false">IF($A169="","",IFERROR(IF(INDEX(Maestro!$I:$I,MATCH($A169,Maestro!$A:$A,0))="Peso","Por libra",TRIM(INDEX(Maestro!$E:$E,MATCH($A169,Maestro!$A:$A,0))&amp;" "&amp;INDEX(Maestro!$F:$F,MATCH($A169,Maestro!$A:$A,0))&amp;" "&amp;INDEX(Maestro!$G:$G,MATCH($A169,Maestro!$A:$A,0)))),""))</f>
        <v/>
      </c>
      <c r="F169" s="13" t="str">
        <f aca="false">IF($A169="","",IFERROR(INDEX(Maestro!$H:$H,MATCH($A169,Maestro!$A:$A,0))&amp;"",""))</f>
        <v/>
      </c>
      <c r="G169" s="13" t="str">
        <f aca="false">IF($A169="","",IFERROR(INDEX(Maestro!$I:$I,MATCH($A169,Maestro!$A:$A,0))&amp;"",""))</f>
        <v/>
      </c>
      <c r="H169" s="14"/>
      <c r="I169" s="11"/>
    </row>
    <row r="170" customFormat="false" ht="15" hidden="false" customHeight="false" outlineLevel="0" collapsed="false">
      <c r="A170" s="11"/>
      <c r="B170" s="12"/>
      <c r="C170" s="13" t="str">
        <f aca="false">IF($A170="","",IFERROR(INDEX(Maestro!$C:$C,MATCH($A170,Maestro!$A:$A,0)),"Código no existe"))</f>
        <v/>
      </c>
      <c r="D170" s="13" t="str">
        <f aca="false">IF($A170="","",IFERROR(INDEX(Maestro!$D:$D,MATCH($A170,Maestro!$A:$A,0))&amp;"",""))</f>
        <v/>
      </c>
      <c r="E170" s="13" t="str">
        <f aca="false">IF($A170="","",IFERROR(IF(INDEX(Maestro!$I:$I,MATCH($A170,Maestro!$A:$A,0))="Peso","Por libra",TRIM(INDEX(Maestro!$E:$E,MATCH($A170,Maestro!$A:$A,0))&amp;" "&amp;INDEX(Maestro!$F:$F,MATCH($A170,Maestro!$A:$A,0))&amp;" "&amp;INDEX(Maestro!$G:$G,MATCH($A170,Maestro!$A:$A,0)))),""))</f>
        <v/>
      </c>
      <c r="F170" s="13" t="str">
        <f aca="false">IF($A170="","",IFERROR(INDEX(Maestro!$H:$H,MATCH($A170,Maestro!$A:$A,0))&amp;"",""))</f>
        <v/>
      </c>
      <c r="G170" s="13" t="str">
        <f aca="false">IF($A170="","",IFERROR(INDEX(Maestro!$I:$I,MATCH($A170,Maestro!$A:$A,0))&amp;"",""))</f>
        <v/>
      </c>
      <c r="H170" s="14"/>
      <c r="I170" s="11"/>
    </row>
    <row r="171" customFormat="false" ht="15" hidden="false" customHeight="false" outlineLevel="0" collapsed="false">
      <c r="A171" s="11"/>
      <c r="B171" s="12"/>
      <c r="C171" s="13" t="str">
        <f aca="false">IF($A171="","",IFERROR(INDEX(Maestro!$C:$C,MATCH($A171,Maestro!$A:$A,0)),"Código no existe"))</f>
        <v/>
      </c>
      <c r="D171" s="13" t="str">
        <f aca="false">IF($A171="","",IFERROR(INDEX(Maestro!$D:$D,MATCH($A171,Maestro!$A:$A,0))&amp;"",""))</f>
        <v/>
      </c>
      <c r="E171" s="13" t="str">
        <f aca="false">IF($A171="","",IFERROR(IF(INDEX(Maestro!$I:$I,MATCH($A171,Maestro!$A:$A,0))="Peso","Por libra",TRIM(INDEX(Maestro!$E:$E,MATCH($A171,Maestro!$A:$A,0))&amp;" "&amp;INDEX(Maestro!$F:$F,MATCH($A171,Maestro!$A:$A,0))&amp;" "&amp;INDEX(Maestro!$G:$G,MATCH($A171,Maestro!$A:$A,0)))),""))</f>
        <v/>
      </c>
      <c r="F171" s="13" t="str">
        <f aca="false">IF($A171="","",IFERROR(INDEX(Maestro!$H:$H,MATCH($A171,Maestro!$A:$A,0))&amp;"",""))</f>
        <v/>
      </c>
      <c r="G171" s="13" t="str">
        <f aca="false">IF($A171="","",IFERROR(INDEX(Maestro!$I:$I,MATCH($A171,Maestro!$A:$A,0))&amp;"",""))</f>
        <v/>
      </c>
      <c r="H171" s="14"/>
      <c r="I171" s="11"/>
    </row>
    <row r="172" customFormat="false" ht="15" hidden="false" customHeight="false" outlineLevel="0" collapsed="false">
      <c r="A172" s="11"/>
      <c r="B172" s="12"/>
      <c r="C172" s="13" t="str">
        <f aca="false">IF($A172="","",IFERROR(INDEX(Maestro!$C:$C,MATCH($A172,Maestro!$A:$A,0)),"Código no existe"))</f>
        <v/>
      </c>
      <c r="D172" s="13" t="str">
        <f aca="false">IF($A172="","",IFERROR(INDEX(Maestro!$D:$D,MATCH($A172,Maestro!$A:$A,0))&amp;"",""))</f>
        <v/>
      </c>
      <c r="E172" s="13" t="str">
        <f aca="false">IF($A172="","",IFERROR(IF(INDEX(Maestro!$I:$I,MATCH($A172,Maestro!$A:$A,0))="Peso","Por libra",TRIM(INDEX(Maestro!$E:$E,MATCH($A172,Maestro!$A:$A,0))&amp;" "&amp;INDEX(Maestro!$F:$F,MATCH($A172,Maestro!$A:$A,0))&amp;" "&amp;INDEX(Maestro!$G:$G,MATCH($A172,Maestro!$A:$A,0)))),""))</f>
        <v/>
      </c>
      <c r="F172" s="13" t="str">
        <f aca="false">IF($A172="","",IFERROR(INDEX(Maestro!$H:$H,MATCH($A172,Maestro!$A:$A,0))&amp;"",""))</f>
        <v/>
      </c>
      <c r="G172" s="13" t="str">
        <f aca="false">IF($A172="","",IFERROR(INDEX(Maestro!$I:$I,MATCH($A172,Maestro!$A:$A,0))&amp;"",""))</f>
        <v/>
      </c>
      <c r="H172" s="14"/>
      <c r="I172" s="11"/>
    </row>
    <row r="173" customFormat="false" ht="15" hidden="false" customHeight="false" outlineLevel="0" collapsed="false">
      <c r="A173" s="11"/>
      <c r="B173" s="12"/>
      <c r="C173" s="13" t="str">
        <f aca="false">IF($A173="","",IFERROR(INDEX(Maestro!$C:$C,MATCH($A173,Maestro!$A:$A,0)),"Código no existe"))</f>
        <v/>
      </c>
      <c r="D173" s="13" t="str">
        <f aca="false">IF($A173="","",IFERROR(INDEX(Maestro!$D:$D,MATCH($A173,Maestro!$A:$A,0))&amp;"",""))</f>
        <v/>
      </c>
      <c r="E173" s="13" t="str">
        <f aca="false">IF($A173="","",IFERROR(IF(INDEX(Maestro!$I:$I,MATCH($A173,Maestro!$A:$A,0))="Peso","Por libra",TRIM(INDEX(Maestro!$E:$E,MATCH($A173,Maestro!$A:$A,0))&amp;" "&amp;INDEX(Maestro!$F:$F,MATCH($A173,Maestro!$A:$A,0))&amp;" "&amp;INDEX(Maestro!$G:$G,MATCH($A173,Maestro!$A:$A,0)))),""))</f>
        <v/>
      </c>
      <c r="F173" s="13" t="str">
        <f aca="false">IF($A173="","",IFERROR(INDEX(Maestro!$H:$H,MATCH($A173,Maestro!$A:$A,0))&amp;"",""))</f>
        <v/>
      </c>
      <c r="G173" s="13" t="str">
        <f aca="false">IF($A173="","",IFERROR(INDEX(Maestro!$I:$I,MATCH($A173,Maestro!$A:$A,0))&amp;"",""))</f>
        <v/>
      </c>
      <c r="H173" s="14"/>
      <c r="I173" s="11"/>
    </row>
    <row r="174" customFormat="false" ht="15" hidden="false" customHeight="false" outlineLevel="0" collapsed="false">
      <c r="A174" s="11"/>
      <c r="B174" s="12"/>
      <c r="C174" s="13" t="str">
        <f aca="false">IF($A174="","",IFERROR(INDEX(Maestro!$C:$C,MATCH($A174,Maestro!$A:$A,0)),"Código no existe"))</f>
        <v/>
      </c>
      <c r="D174" s="13" t="str">
        <f aca="false">IF($A174="","",IFERROR(INDEX(Maestro!$D:$D,MATCH($A174,Maestro!$A:$A,0))&amp;"",""))</f>
        <v/>
      </c>
      <c r="E174" s="13" t="str">
        <f aca="false">IF($A174="","",IFERROR(IF(INDEX(Maestro!$I:$I,MATCH($A174,Maestro!$A:$A,0))="Peso","Por libra",TRIM(INDEX(Maestro!$E:$E,MATCH($A174,Maestro!$A:$A,0))&amp;" "&amp;INDEX(Maestro!$F:$F,MATCH($A174,Maestro!$A:$A,0))&amp;" "&amp;INDEX(Maestro!$G:$G,MATCH($A174,Maestro!$A:$A,0)))),""))</f>
        <v/>
      </c>
      <c r="F174" s="13" t="str">
        <f aca="false">IF($A174="","",IFERROR(INDEX(Maestro!$H:$H,MATCH($A174,Maestro!$A:$A,0))&amp;"",""))</f>
        <v/>
      </c>
      <c r="G174" s="13" t="str">
        <f aca="false">IF($A174="","",IFERROR(INDEX(Maestro!$I:$I,MATCH($A174,Maestro!$A:$A,0))&amp;"",""))</f>
        <v/>
      </c>
      <c r="H174" s="14"/>
      <c r="I174" s="11"/>
    </row>
    <row r="175" customFormat="false" ht="15" hidden="false" customHeight="false" outlineLevel="0" collapsed="false">
      <c r="A175" s="11"/>
      <c r="B175" s="12"/>
      <c r="C175" s="13" t="str">
        <f aca="false">IF($A175="","",IFERROR(INDEX(Maestro!$C:$C,MATCH($A175,Maestro!$A:$A,0)),"Código no existe"))</f>
        <v/>
      </c>
      <c r="D175" s="13" t="str">
        <f aca="false">IF($A175="","",IFERROR(INDEX(Maestro!$D:$D,MATCH($A175,Maestro!$A:$A,0))&amp;"",""))</f>
        <v/>
      </c>
      <c r="E175" s="13" t="str">
        <f aca="false">IF($A175="","",IFERROR(IF(INDEX(Maestro!$I:$I,MATCH($A175,Maestro!$A:$A,0))="Peso","Por libra",TRIM(INDEX(Maestro!$E:$E,MATCH($A175,Maestro!$A:$A,0))&amp;" "&amp;INDEX(Maestro!$F:$F,MATCH($A175,Maestro!$A:$A,0))&amp;" "&amp;INDEX(Maestro!$G:$G,MATCH($A175,Maestro!$A:$A,0)))),""))</f>
        <v/>
      </c>
      <c r="F175" s="13" t="str">
        <f aca="false">IF($A175="","",IFERROR(INDEX(Maestro!$H:$H,MATCH($A175,Maestro!$A:$A,0))&amp;"",""))</f>
        <v/>
      </c>
      <c r="G175" s="13" t="str">
        <f aca="false">IF($A175="","",IFERROR(INDEX(Maestro!$I:$I,MATCH($A175,Maestro!$A:$A,0))&amp;"",""))</f>
        <v/>
      </c>
      <c r="H175" s="14"/>
      <c r="I175" s="11"/>
    </row>
    <row r="176" customFormat="false" ht="15" hidden="false" customHeight="false" outlineLevel="0" collapsed="false">
      <c r="A176" s="11"/>
      <c r="B176" s="12"/>
      <c r="C176" s="13" t="str">
        <f aca="false">IF($A176="","",IFERROR(INDEX(Maestro!$C:$C,MATCH($A176,Maestro!$A:$A,0)),"Código no existe"))</f>
        <v/>
      </c>
      <c r="D176" s="13" t="str">
        <f aca="false">IF($A176="","",IFERROR(INDEX(Maestro!$D:$D,MATCH($A176,Maestro!$A:$A,0))&amp;"",""))</f>
        <v/>
      </c>
      <c r="E176" s="13" t="str">
        <f aca="false">IF($A176="","",IFERROR(IF(INDEX(Maestro!$I:$I,MATCH($A176,Maestro!$A:$A,0))="Peso","Por libra",TRIM(INDEX(Maestro!$E:$E,MATCH($A176,Maestro!$A:$A,0))&amp;" "&amp;INDEX(Maestro!$F:$F,MATCH($A176,Maestro!$A:$A,0))&amp;" "&amp;INDEX(Maestro!$G:$G,MATCH($A176,Maestro!$A:$A,0)))),""))</f>
        <v/>
      </c>
      <c r="F176" s="13" t="str">
        <f aca="false">IF($A176="","",IFERROR(INDEX(Maestro!$H:$H,MATCH($A176,Maestro!$A:$A,0))&amp;"",""))</f>
        <v/>
      </c>
      <c r="G176" s="13" t="str">
        <f aca="false">IF($A176="","",IFERROR(INDEX(Maestro!$I:$I,MATCH($A176,Maestro!$A:$A,0))&amp;"",""))</f>
        <v/>
      </c>
      <c r="H176" s="14"/>
      <c r="I176" s="11"/>
    </row>
    <row r="177" customFormat="false" ht="15" hidden="false" customHeight="false" outlineLevel="0" collapsed="false">
      <c r="A177" s="11"/>
      <c r="B177" s="12"/>
      <c r="C177" s="13" t="str">
        <f aca="false">IF($A177="","",IFERROR(INDEX(Maestro!$C:$C,MATCH($A177,Maestro!$A:$A,0)),"Código no existe"))</f>
        <v/>
      </c>
      <c r="D177" s="13" t="str">
        <f aca="false">IF($A177="","",IFERROR(INDEX(Maestro!$D:$D,MATCH($A177,Maestro!$A:$A,0))&amp;"",""))</f>
        <v/>
      </c>
      <c r="E177" s="13" t="str">
        <f aca="false">IF($A177="","",IFERROR(IF(INDEX(Maestro!$I:$I,MATCH($A177,Maestro!$A:$A,0))="Peso","Por libra",TRIM(INDEX(Maestro!$E:$E,MATCH($A177,Maestro!$A:$A,0))&amp;" "&amp;INDEX(Maestro!$F:$F,MATCH($A177,Maestro!$A:$A,0))&amp;" "&amp;INDEX(Maestro!$G:$G,MATCH($A177,Maestro!$A:$A,0)))),""))</f>
        <v/>
      </c>
      <c r="F177" s="13" t="str">
        <f aca="false">IF($A177="","",IFERROR(INDEX(Maestro!$H:$H,MATCH($A177,Maestro!$A:$A,0))&amp;"",""))</f>
        <v/>
      </c>
      <c r="G177" s="13" t="str">
        <f aca="false">IF($A177="","",IFERROR(INDEX(Maestro!$I:$I,MATCH($A177,Maestro!$A:$A,0))&amp;"",""))</f>
        <v/>
      </c>
      <c r="H177" s="14"/>
      <c r="I177" s="11"/>
    </row>
    <row r="178" customFormat="false" ht="15" hidden="false" customHeight="false" outlineLevel="0" collapsed="false">
      <c r="A178" s="11"/>
      <c r="B178" s="12"/>
      <c r="C178" s="13" t="str">
        <f aca="false">IF($A178="","",IFERROR(INDEX(Maestro!$C:$C,MATCH($A178,Maestro!$A:$A,0)),"Código no existe"))</f>
        <v/>
      </c>
      <c r="D178" s="13" t="str">
        <f aca="false">IF($A178="","",IFERROR(INDEX(Maestro!$D:$D,MATCH($A178,Maestro!$A:$A,0))&amp;"",""))</f>
        <v/>
      </c>
      <c r="E178" s="13" t="str">
        <f aca="false">IF($A178="","",IFERROR(IF(INDEX(Maestro!$I:$I,MATCH($A178,Maestro!$A:$A,0))="Peso","Por libra",TRIM(INDEX(Maestro!$E:$E,MATCH($A178,Maestro!$A:$A,0))&amp;" "&amp;INDEX(Maestro!$F:$F,MATCH($A178,Maestro!$A:$A,0))&amp;" "&amp;INDEX(Maestro!$G:$G,MATCH($A178,Maestro!$A:$A,0)))),""))</f>
        <v/>
      </c>
      <c r="F178" s="13" t="str">
        <f aca="false">IF($A178="","",IFERROR(INDEX(Maestro!$H:$H,MATCH($A178,Maestro!$A:$A,0))&amp;"",""))</f>
        <v/>
      </c>
      <c r="G178" s="13" t="str">
        <f aca="false">IF($A178="","",IFERROR(INDEX(Maestro!$I:$I,MATCH($A178,Maestro!$A:$A,0))&amp;"",""))</f>
        <v/>
      </c>
      <c r="H178" s="14"/>
      <c r="I178" s="11"/>
    </row>
    <row r="179" customFormat="false" ht="15" hidden="false" customHeight="false" outlineLevel="0" collapsed="false">
      <c r="A179" s="11"/>
      <c r="B179" s="12"/>
      <c r="C179" s="13" t="str">
        <f aca="false">IF($A179="","",IFERROR(INDEX(Maestro!$C:$C,MATCH($A179,Maestro!$A:$A,0)),"Código no existe"))</f>
        <v/>
      </c>
      <c r="D179" s="13" t="str">
        <f aca="false">IF($A179="","",IFERROR(INDEX(Maestro!$D:$D,MATCH($A179,Maestro!$A:$A,0))&amp;"",""))</f>
        <v/>
      </c>
      <c r="E179" s="13" t="str">
        <f aca="false">IF($A179="","",IFERROR(IF(INDEX(Maestro!$I:$I,MATCH($A179,Maestro!$A:$A,0))="Peso","Por libra",TRIM(INDEX(Maestro!$E:$E,MATCH($A179,Maestro!$A:$A,0))&amp;" "&amp;INDEX(Maestro!$F:$F,MATCH($A179,Maestro!$A:$A,0))&amp;" "&amp;INDEX(Maestro!$G:$G,MATCH($A179,Maestro!$A:$A,0)))),""))</f>
        <v/>
      </c>
      <c r="F179" s="13" t="str">
        <f aca="false">IF($A179="","",IFERROR(INDEX(Maestro!$H:$H,MATCH($A179,Maestro!$A:$A,0))&amp;"",""))</f>
        <v/>
      </c>
      <c r="G179" s="13" t="str">
        <f aca="false">IF($A179="","",IFERROR(INDEX(Maestro!$I:$I,MATCH($A179,Maestro!$A:$A,0))&amp;"",""))</f>
        <v/>
      </c>
      <c r="H179" s="14"/>
      <c r="I179" s="11"/>
    </row>
    <row r="180" customFormat="false" ht="15" hidden="false" customHeight="false" outlineLevel="0" collapsed="false">
      <c r="A180" s="11"/>
      <c r="B180" s="12"/>
      <c r="C180" s="13" t="str">
        <f aca="false">IF($A180="","",IFERROR(INDEX(Maestro!$C:$C,MATCH($A180,Maestro!$A:$A,0)),"Código no existe"))</f>
        <v/>
      </c>
      <c r="D180" s="13" t="str">
        <f aca="false">IF($A180="","",IFERROR(INDEX(Maestro!$D:$D,MATCH($A180,Maestro!$A:$A,0))&amp;"",""))</f>
        <v/>
      </c>
      <c r="E180" s="13" t="str">
        <f aca="false">IF($A180="","",IFERROR(IF(INDEX(Maestro!$I:$I,MATCH($A180,Maestro!$A:$A,0))="Peso","Por libra",TRIM(INDEX(Maestro!$E:$E,MATCH($A180,Maestro!$A:$A,0))&amp;" "&amp;INDEX(Maestro!$F:$F,MATCH($A180,Maestro!$A:$A,0))&amp;" "&amp;INDEX(Maestro!$G:$G,MATCH($A180,Maestro!$A:$A,0)))),""))</f>
        <v/>
      </c>
      <c r="F180" s="13" t="str">
        <f aca="false">IF($A180="","",IFERROR(INDEX(Maestro!$H:$H,MATCH($A180,Maestro!$A:$A,0))&amp;"",""))</f>
        <v/>
      </c>
      <c r="G180" s="13" t="str">
        <f aca="false">IF($A180="","",IFERROR(INDEX(Maestro!$I:$I,MATCH($A180,Maestro!$A:$A,0))&amp;"",""))</f>
        <v/>
      </c>
      <c r="H180" s="14"/>
      <c r="I180" s="11"/>
    </row>
    <row r="181" customFormat="false" ht="15" hidden="false" customHeight="false" outlineLevel="0" collapsed="false">
      <c r="A181" s="11"/>
      <c r="B181" s="12"/>
      <c r="C181" s="13" t="str">
        <f aca="false">IF($A181="","",IFERROR(INDEX(Maestro!$C:$C,MATCH($A181,Maestro!$A:$A,0)),"Código no existe"))</f>
        <v/>
      </c>
      <c r="D181" s="13" t="str">
        <f aca="false">IF($A181="","",IFERROR(INDEX(Maestro!$D:$D,MATCH($A181,Maestro!$A:$A,0))&amp;"",""))</f>
        <v/>
      </c>
      <c r="E181" s="13" t="str">
        <f aca="false">IF($A181="","",IFERROR(IF(INDEX(Maestro!$I:$I,MATCH($A181,Maestro!$A:$A,0))="Peso","Por libra",TRIM(INDEX(Maestro!$E:$E,MATCH($A181,Maestro!$A:$A,0))&amp;" "&amp;INDEX(Maestro!$F:$F,MATCH($A181,Maestro!$A:$A,0))&amp;" "&amp;INDEX(Maestro!$G:$G,MATCH($A181,Maestro!$A:$A,0)))),""))</f>
        <v/>
      </c>
      <c r="F181" s="13" t="str">
        <f aca="false">IF($A181="","",IFERROR(INDEX(Maestro!$H:$H,MATCH($A181,Maestro!$A:$A,0))&amp;"",""))</f>
        <v/>
      </c>
      <c r="G181" s="13" t="str">
        <f aca="false">IF($A181="","",IFERROR(INDEX(Maestro!$I:$I,MATCH($A181,Maestro!$A:$A,0))&amp;"",""))</f>
        <v/>
      </c>
      <c r="H181" s="14"/>
      <c r="I181" s="11"/>
    </row>
    <row r="182" customFormat="false" ht="15" hidden="false" customHeight="false" outlineLevel="0" collapsed="false">
      <c r="A182" s="11"/>
      <c r="B182" s="12"/>
      <c r="C182" s="13" t="str">
        <f aca="false">IF($A182="","",IFERROR(INDEX(Maestro!$C:$C,MATCH($A182,Maestro!$A:$A,0)),"Código no existe"))</f>
        <v/>
      </c>
      <c r="D182" s="13" t="str">
        <f aca="false">IF($A182="","",IFERROR(INDEX(Maestro!$D:$D,MATCH($A182,Maestro!$A:$A,0))&amp;"",""))</f>
        <v/>
      </c>
      <c r="E182" s="13" t="str">
        <f aca="false">IF($A182="","",IFERROR(IF(INDEX(Maestro!$I:$I,MATCH($A182,Maestro!$A:$A,0))="Peso","Por libra",TRIM(INDEX(Maestro!$E:$E,MATCH($A182,Maestro!$A:$A,0))&amp;" "&amp;INDEX(Maestro!$F:$F,MATCH($A182,Maestro!$A:$A,0))&amp;" "&amp;INDEX(Maestro!$G:$G,MATCH($A182,Maestro!$A:$A,0)))),""))</f>
        <v/>
      </c>
      <c r="F182" s="13" t="str">
        <f aca="false">IF($A182="","",IFERROR(INDEX(Maestro!$H:$H,MATCH($A182,Maestro!$A:$A,0))&amp;"",""))</f>
        <v/>
      </c>
      <c r="G182" s="13" t="str">
        <f aca="false">IF($A182="","",IFERROR(INDEX(Maestro!$I:$I,MATCH($A182,Maestro!$A:$A,0))&amp;"",""))</f>
        <v/>
      </c>
      <c r="H182" s="14"/>
      <c r="I182" s="11"/>
    </row>
    <row r="183" customFormat="false" ht="15" hidden="false" customHeight="false" outlineLevel="0" collapsed="false">
      <c r="A183" s="11"/>
      <c r="B183" s="12"/>
      <c r="C183" s="13" t="str">
        <f aca="false">IF($A183="","",IFERROR(INDEX(Maestro!$C:$C,MATCH($A183,Maestro!$A:$A,0)),"Código no existe"))</f>
        <v/>
      </c>
      <c r="D183" s="13" t="str">
        <f aca="false">IF($A183="","",IFERROR(INDEX(Maestro!$D:$D,MATCH($A183,Maestro!$A:$A,0))&amp;"",""))</f>
        <v/>
      </c>
      <c r="E183" s="13" t="str">
        <f aca="false">IF($A183="","",IFERROR(IF(INDEX(Maestro!$I:$I,MATCH($A183,Maestro!$A:$A,0))="Peso","Por libra",TRIM(INDEX(Maestro!$E:$E,MATCH($A183,Maestro!$A:$A,0))&amp;" "&amp;INDEX(Maestro!$F:$F,MATCH($A183,Maestro!$A:$A,0))&amp;" "&amp;INDEX(Maestro!$G:$G,MATCH($A183,Maestro!$A:$A,0)))),""))</f>
        <v/>
      </c>
      <c r="F183" s="13" t="str">
        <f aca="false">IF($A183="","",IFERROR(INDEX(Maestro!$H:$H,MATCH($A183,Maestro!$A:$A,0))&amp;"",""))</f>
        <v/>
      </c>
      <c r="G183" s="13" t="str">
        <f aca="false">IF($A183="","",IFERROR(INDEX(Maestro!$I:$I,MATCH($A183,Maestro!$A:$A,0))&amp;"",""))</f>
        <v/>
      </c>
      <c r="H183" s="14"/>
      <c r="I183" s="11"/>
    </row>
    <row r="184" customFormat="false" ht="15" hidden="false" customHeight="false" outlineLevel="0" collapsed="false">
      <c r="A184" s="11"/>
      <c r="B184" s="12"/>
      <c r="C184" s="13" t="str">
        <f aca="false">IF($A184="","",IFERROR(INDEX(Maestro!$C:$C,MATCH($A184,Maestro!$A:$A,0)),"Código no existe"))</f>
        <v/>
      </c>
      <c r="D184" s="13" t="str">
        <f aca="false">IF($A184="","",IFERROR(INDEX(Maestro!$D:$D,MATCH($A184,Maestro!$A:$A,0))&amp;"",""))</f>
        <v/>
      </c>
      <c r="E184" s="13" t="str">
        <f aca="false">IF($A184="","",IFERROR(IF(INDEX(Maestro!$I:$I,MATCH($A184,Maestro!$A:$A,0))="Peso","Por libra",TRIM(INDEX(Maestro!$E:$E,MATCH($A184,Maestro!$A:$A,0))&amp;" "&amp;INDEX(Maestro!$F:$F,MATCH($A184,Maestro!$A:$A,0))&amp;" "&amp;INDEX(Maestro!$G:$G,MATCH($A184,Maestro!$A:$A,0)))),""))</f>
        <v/>
      </c>
      <c r="F184" s="13" t="str">
        <f aca="false">IF($A184="","",IFERROR(INDEX(Maestro!$H:$H,MATCH($A184,Maestro!$A:$A,0))&amp;"",""))</f>
        <v/>
      </c>
      <c r="G184" s="13" t="str">
        <f aca="false">IF($A184="","",IFERROR(INDEX(Maestro!$I:$I,MATCH($A184,Maestro!$A:$A,0))&amp;"",""))</f>
        <v/>
      </c>
      <c r="H184" s="14"/>
      <c r="I184" s="11"/>
    </row>
    <row r="185" customFormat="false" ht="15" hidden="false" customHeight="false" outlineLevel="0" collapsed="false">
      <c r="A185" s="11"/>
      <c r="B185" s="12"/>
      <c r="C185" s="13" t="str">
        <f aca="false">IF($A185="","",IFERROR(INDEX(Maestro!$C:$C,MATCH($A185,Maestro!$A:$A,0)),"Código no existe"))</f>
        <v/>
      </c>
      <c r="D185" s="13" t="str">
        <f aca="false">IF($A185="","",IFERROR(INDEX(Maestro!$D:$D,MATCH($A185,Maestro!$A:$A,0))&amp;"",""))</f>
        <v/>
      </c>
      <c r="E185" s="13" t="str">
        <f aca="false">IF($A185="","",IFERROR(IF(INDEX(Maestro!$I:$I,MATCH($A185,Maestro!$A:$A,0))="Peso","Por libra",TRIM(INDEX(Maestro!$E:$E,MATCH($A185,Maestro!$A:$A,0))&amp;" "&amp;INDEX(Maestro!$F:$F,MATCH($A185,Maestro!$A:$A,0))&amp;" "&amp;INDEX(Maestro!$G:$G,MATCH($A185,Maestro!$A:$A,0)))),""))</f>
        <v/>
      </c>
      <c r="F185" s="13" t="str">
        <f aca="false">IF($A185="","",IFERROR(INDEX(Maestro!$H:$H,MATCH($A185,Maestro!$A:$A,0))&amp;"",""))</f>
        <v/>
      </c>
      <c r="G185" s="13" t="str">
        <f aca="false">IF($A185="","",IFERROR(INDEX(Maestro!$I:$I,MATCH($A185,Maestro!$A:$A,0))&amp;"",""))</f>
        <v/>
      </c>
      <c r="H185" s="14"/>
      <c r="I185" s="11"/>
    </row>
    <row r="186" customFormat="false" ht="15" hidden="false" customHeight="false" outlineLevel="0" collapsed="false">
      <c r="A186" s="11"/>
      <c r="B186" s="12"/>
      <c r="C186" s="13" t="str">
        <f aca="false">IF($A186="","",IFERROR(INDEX(Maestro!$C:$C,MATCH($A186,Maestro!$A:$A,0)),"Código no existe"))</f>
        <v/>
      </c>
      <c r="D186" s="13" t="str">
        <f aca="false">IF($A186="","",IFERROR(INDEX(Maestro!$D:$D,MATCH($A186,Maestro!$A:$A,0))&amp;"",""))</f>
        <v/>
      </c>
      <c r="E186" s="13" t="str">
        <f aca="false">IF($A186="","",IFERROR(IF(INDEX(Maestro!$I:$I,MATCH($A186,Maestro!$A:$A,0))="Peso","Por libra",TRIM(INDEX(Maestro!$E:$E,MATCH($A186,Maestro!$A:$A,0))&amp;" "&amp;INDEX(Maestro!$F:$F,MATCH($A186,Maestro!$A:$A,0))&amp;" "&amp;INDEX(Maestro!$G:$G,MATCH($A186,Maestro!$A:$A,0)))),""))</f>
        <v/>
      </c>
      <c r="F186" s="13" t="str">
        <f aca="false">IF($A186="","",IFERROR(INDEX(Maestro!$H:$H,MATCH($A186,Maestro!$A:$A,0))&amp;"",""))</f>
        <v/>
      </c>
      <c r="G186" s="13" t="str">
        <f aca="false">IF($A186="","",IFERROR(INDEX(Maestro!$I:$I,MATCH($A186,Maestro!$A:$A,0))&amp;"",""))</f>
        <v/>
      </c>
      <c r="H186" s="14"/>
      <c r="I186" s="11"/>
    </row>
    <row r="187" customFormat="false" ht="15" hidden="false" customHeight="false" outlineLevel="0" collapsed="false">
      <c r="A187" s="11"/>
      <c r="B187" s="12"/>
      <c r="C187" s="13" t="str">
        <f aca="false">IF($A187="","",IFERROR(INDEX(Maestro!$C:$C,MATCH($A187,Maestro!$A:$A,0)),"Código no existe"))</f>
        <v/>
      </c>
      <c r="D187" s="13" t="str">
        <f aca="false">IF($A187="","",IFERROR(INDEX(Maestro!$D:$D,MATCH($A187,Maestro!$A:$A,0))&amp;"",""))</f>
        <v/>
      </c>
      <c r="E187" s="13" t="str">
        <f aca="false">IF($A187="","",IFERROR(IF(INDEX(Maestro!$I:$I,MATCH($A187,Maestro!$A:$A,0))="Peso","Por libra",TRIM(INDEX(Maestro!$E:$E,MATCH($A187,Maestro!$A:$A,0))&amp;" "&amp;INDEX(Maestro!$F:$F,MATCH($A187,Maestro!$A:$A,0))&amp;" "&amp;INDEX(Maestro!$G:$G,MATCH($A187,Maestro!$A:$A,0)))),""))</f>
        <v/>
      </c>
      <c r="F187" s="13" t="str">
        <f aca="false">IF($A187="","",IFERROR(INDEX(Maestro!$H:$H,MATCH($A187,Maestro!$A:$A,0))&amp;"",""))</f>
        <v/>
      </c>
      <c r="G187" s="13" t="str">
        <f aca="false">IF($A187="","",IFERROR(INDEX(Maestro!$I:$I,MATCH($A187,Maestro!$A:$A,0))&amp;"",""))</f>
        <v/>
      </c>
      <c r="H187" s="14"/>
      <c r="I187" s="11"/>
    </row>
    <row r="188" customFormat="false" ht="15" hidden="false" customHeight="false" outlineLevel="0" collapsed="false">
      <c r="A188" s="11"/>
      <c r="B188" s="12"/>
      <c r="C188" s="13" t="str">
        <f aca="false">IF($A188="","",IFERROR(INDEX(Maestro!$C:$C,MATCH($A188,Maestro!$A:$A,0)),"Código no existe"))</f>
        <v/>
      </c>
      <c r="D188" s="13" t="str">
        <f aca="false">IF($A188="","",IFERROR(INDEX(Maestro!$D:$D,MATCH($A188,Maestro!$A:$A,0))&amp;"",""))</f>
        <v/>
      </c>
      <c r="E188" s="13" t="str">
        <f aca="false">IF($A188="","",IFERROR(IF(INDEX(Maestro!$I:$I,MATCH($A188,Maestro!$A:$A,0))="Peso","Por libra",TRIM(INDEX(Maestro!$E:$E,MATCH($A188,Maestro!$A:$A,0))&amp;" "&amp;INDEX(Maestro!$F:$F,MATCH($A188,Maestro!$A:$A,0))&amp;" "&amp;INDEX(Maestro!$G:$G,MATCH($A188,Maestro!$A:$A,0)))),""))</f>
        <v/>
      </c>
      <c r="F188" s="13" t="str">
        <f aca="false">IF($A188="","",IFERROR(INDEX(Maestro!$H:$H,MATCH($A188,Maestro!$A:$A,0))&amp;"",""))</f>
        <v/>
      </c>
      <c r="G188" s="13" t="str">
        <f aca="false">IF($A188="","",IFERROR(INDEX(Maestro!$I:$I,MATCH($A188,Maestro!$A:$A,0))&amp;"",""))</f>
        <v/>
      </c>
      <c r="H188" s="14"/>
      <c r="I188" s="11"/>
    </row>
    <row r="189" customFormat="false" ht="15" hidden="false" customHeight="false" outlineLevel="0" collapsed="false">
      <c r="A189" s="11"/>
      <c r="B189" s="12"/>
      <c r="C189" s="13" t="str">
        <f aca="false">IF($A189="","",IFERROR(INDEX(Maestro!$C:$C,MATCH($A189,Maestro!$A:$A,0)),"Código no existe"))</f>
        <v/>
      </c>
      <c r="D189" s="13" t="str">
        <f aca="false">IF($A189="","",IFERROR(INDEX(Maestro!$D:$D,MATCH($A189,Maestro!$A:$A,0))&amp;"",""))</f>
        <v/>
      </c>
      <c r="E189" s="13" t="str">
        <f aca="false">IF($A189="","",IFERROR(IF(INDEX(Maestro!$I:$I,MATCH($A189,Maestro!$A:$A,0))="Peso","Por libra",TRIM(INDEX(Maestro!$E:$E,MATCH($A189,Maestro!$A:$A,0))&amp;" "&amp;INDEX(Maestro!$F:$F,MATCH($A189,Maestro!$A:$A,0))&amp;" "&amp;INDEX(Maestro!$G:$G,MATCH($A189,Maestro!$A:$A,0)))),""))</f>
        <v/>
      </c>
      <c r="F189" s="13" t="str">
        <f aca="false">IF($A189="","",IFERROR(INDEX(Maestro!$H:$H,MATCH($A189,Maestro!$A:$A,0))&amp;"",""))</f>
        <v/>
      </c>
      <c r="G189" s="13" t="str">
        <f aca="false">IF($A189="","",IFERROR(INDEX(Maestro!$I:$I,MATCH($A189,Maestro!$A:$A,0))&amp;"",""))</f>
        <v/>
      </c>
      <c r="H189" s="14"/>
      <c r="I189" s="11"/>
    </row>
    <row r="190" customFormat="false" ht="15" hidden="false" customHeight="false" outlineLevel="0" collapsed="false">
      <c r="A190" s="11"/>
      <c r="B190" s="12"/>
      <c r="C190" s="13" t="str">
        <f aca="false">IF($A190="","",IFERROR(INDEX(Maestro!$C:$C,MATCH($A190,Maestro!$A:$A,0)),"Código no existe"))</f>
        <v/>
      </c>
      <c r="D190" s="13" t="str">
        <f aca="false">IF($A190="","",IFERROR(INDEX(Maestro!$D:$D,MATCH($A190,Maestro!$A:$A,0))&amp;"",""))</f>
        <v/>
      </c>
      <c r="E190" s="13" t="str">
        <f aca="false">IF($A190="","",IFERROR(IF(INDEX(Maestro!$I:$I,MATCH($A190,Maestro!$A:$A,0))="Peso","Por libra",TRIM(INDEX(Maestro!$E:$E,MATCH($A190,Maestro!$A:$A,0))&amp;" "&amp;INDEX(Maestro!$F:$F,MATCH($A190,Maestro!$A:$A,0))&amp;" "&amp;INDEX(Maestro!$G:$G,MATCH($A190,Maestro!$A:$A,0)))),""))</f>
        <v/>
      </c>
      <c r="F190" s="13" t="str">
        <f aca="false">IF($A190="","",IFERROR(INDEX(Maestro!$H:$H,MATCH($A190,Maestro!$A:$A,0))&amp;"",""))</f>
        <v/>
      </c>
      <c r="G190" s="13" t="str">
        <f aca="false">IF($A190="","",IFERROR(INDEX(Maestro!$I:$I,MATCH($A190,Maestro!$A:$A,0))&amp;"",""))</f>
        <v/>
      </c>
      <c r="H190" s="14"/>
      <c r="I190" s="11"/>
    </row>
    <row r="191" customFormat="false" ht="15" hidden="false" customHeight="false" outlineLevel="0" collapsed="false">
      <c r="A191" s="11"/>
      <c r="B191" s="12"/>
      <c r="C191" s="13" t="str">
        <f aca="false">IF($A191="","",IFERROR(INDEX(Maestro!$C:$C,MATCH($A191,Maestro!$A:$A,0)),"Código no existe"))</f>
        <v/>
      </c>
      <c r="D191" s="13" t="str">
        <f aca="false">IF($A191="","",IFERROR(INDEX(Maestro!$D:$D,MATCH($A191,Maestro!$A:$A,0))&amp;"",""))</f>
        <v/>
      </c>
      <c r="E191" s="13" t="str">
        <f aca="false">IF($A191="","",IFERROR(IF(INDEX(Maestro!$I:$I,MATCH($A191,Maestro!$A:$A,0))="Peso","Por libra",TRIM(INDEX(Maestro!$E:$E,MATCH($A191,Maestro!$A:$A,0))&amp;" "&amp;INDEX(Maestro!$F:$F,MATCH($A191,Maestro!$A:$A,0))&amp;" "&amp;INDEX(Maestro!$G:$G,MATCH($A191,Maestro!$A:$A,0)))),""))</f>
        <v/>
      </c>
      <c r="F191" s="13" t="str">
        <f aca="false">IF($A191="","",IFERROR(INDEX(Maestro!$H:$H,MATCH($A191,Maestro!$A:$A,0))&amp;"",""))</f>
        <v/>
      </c>
      <c r="G191" s="13" t="str">
        <f aca="false">IF($A191="","",IFERROR(INDEX(Maestro!$I:$I,MATCH($A191,Maestro!$A:$A,0))&amp;"",""))</f>
        <v/>
      </c>
      <c r="H191" s="14"/>
      <c r="I191" s="11"/>
    </row>
    <row r="192" customFormat="false" ht="15" hidden="false" customHeight="false" outlineLevel="0" collapsed="false">
      <c r="A192" s="11"/>
      <c r="B192" s="12"/>
      <c r="C192" s="13" t="str">
        <f aca="false">IF($A192="","",IFERROR(INDEX(Maestro!$C:$C,MATCH($A192,Maestro!$A:$A,0)),"Código no existe"))</f>
        <v/>
      </c>
      <c r="D192" s="13" t="str">
        <f aca="false">IF($A192="","",IFERROR(INDEX(Maestro!$D:$D,MATCH($A192,Maestro!$A:$A,0))&amp;"",""))</f>
        <v/>
      </c>
      <c r="E192" s="13" t="str">
        <f aca="false">IF($A192="","",IFERROR(IF(INDEX(Maestro!$I:$I,MATCH($A192,Maestro!$A:$A,0))="Peso","Por libra",TRIM(INDEX(Maestro!$E:$E,MATCH($A192,Maestro!$A:$A,0))&amp;" "&amp;INDEX(Maestro!$F:$F,MATCH($A192,Maestro!$A:$A,0))&amp;" "&amp;INDEX(Maestro!$G:$G,MATCH($A192,Maestro!$A:$A,0)))),""))</f>
        <v/>
      </c>
      <c r="F192" s="13" t="str">
        <f aca="false">IF($A192="","",IFERROR(INDEX(Maestro!$H:$H,MATCH($A192,Maestro!$A:$A,0))&amp;"",""))</f>
        <v/>
      </c>
      <c r="G192" s="13" t="str">
        <f aca="false">IF($A192="","",IFERROR(INDEX(Maestro!$I:$I,MATCH($A192,Maestro!$A:$A,0))&amp;"",""))</f>
        <v/>
      </c>
      <c r="H192" s="14"/>
      <c r="I192" s="11"/>
    </row>
    <row r="193" customFormat="false" ht="15" hidden="false" customHeight="false" outlineLevel="0" collapsed="false">
      <c r="A193" s="11"/>
      <c r="B193" s="12"/>
      <c r="C193" s="13" t="str">
        <f aca="false">IF($A193="","",IFERROR(INDEX(Maestro!$C:$C,MATCH($A193,Maestro!$A:$A,0)),"Código no existe"))</f>
        <v/>
      </c>
      <c r="D193" s="13" t="str">
        <f aca="false">IF($A193="","",IFERROR(INDEX(Maestro!$D:$D,MATCH($A193,Maestro!$A:$A,0))&amp;"",""))</f>
        <v/>
      </c>
      <c r="E193" s="13" t="str">
        <f aca="false">IF($A193="","",IFERROR(IF(INDEX(Maestro!$I:$I,MATCH($A193,Maestro!$A:$A,0))="Peso","Por libra",TRIM(INDEX(Maestro!$E:$E,MATCH($A193,Maestro!$A:$A,0))&amp;" "&amp;INDEX(Maestro!$F:$F,MATCH($A193,Maestro!$A:$A,0))&amp;" "&amp;INDEX(Maestro!$G:$G,MATCH($A193,Maestro!$A:$A,0)))),""))</f>
        <v/>
      </c>
      <c r="F193" s="13" t="str">
        <f aca="false">IF($A193="","",IFERROR(INDEX(Maestro!$H:$H,MATCH($A193,Maestro!$A:$A,0))&amp;"",""))</f>
        <v/>
      </c>
      <c r="G193" s="13" t="str">
        <f aca="false">IF($A193="","",IFERROR(INDEX(Maestro!$I:$I,MATCH($A193,Maestro!$A:$A,0))&amp;"",""))</f>
        <v/>
      </c>
      <c r="H193" s="14"/>
      <c r="I193" s="11"/>
    </row>
    <row r="194" customFormat="false" ht="15" hidden="false" customHeight="false" outlineLevel="0" collapsed="false">
      <c r="A194" s="11"/>
      <c r="B194" s="12"/>
      <c r="C194" s="13" t="str">
        <f aca="false">IF($A194="","",IFERROR(INDEX(Maestro!$C:$C,MATCH($A194,Maestro!$A:$A,0)),"Código no existe"))</f>
        <v/>
      </c>
      <c r="D194" s="13" t="str">
        <f aca="false">IF($A194="","",IFERROR(INDEX(Maestro!$D:$D,MATCH($A194,Maestro!$A:$A,0))&amp;"",""))</f>
        <v/>
      </c>
      <c r="E194" s="13" t="str">
        <f aca="false">IF($A194="","",IFERROR(IF(INDEX(Maestro!$I:$I,MATCH($A194,Maestro!$A:$A,0))="Peso","Por libra",TRIM(INDEX(Maestro!$E:$E,MATCH($A194,Maestro!$A:$A,0))&amp;" "&amp;INDEX(Maestro!$F:$F,MATCH($A194,Maestro!$A:$A,0))&amp;" "&amp;INDEX(Maestro!$G:$G,MATCH($A194,Maestro!$A:$A,0)))),""))</f>
        <v/>
      </c>
      <c r="F194" s="13" t="str">
        <f aca="false">IF($A194="","",IFERROR(INDEX(Maestro!$H:$H,MATCH($A194,Maestro!$A:$A,0))&amp;"",""))</f>
        <v/>
      </c>
      <c r="G194" s="13" t="str">
        <f aca="false">IF($A194="","",IFERROR(INDEX(Maestro!$I:$I,MATCH($A194,Maestro!$A:$A,0))&amp;"",""))</f>
        <v/>
      </c>
      <c r="H194" s="14"/>
      <c r="I194" s="11"/>
    </row>
    <row r="195" customFormat="false" ht="15" hidden="false" customHeight="false" outlineLevel="0" collapsed="false">
      <c r="A195" s="11"/>
      <c r="B195" s="12"/>
      <c r="C195" s="13" t="str">
        <f aca="false">IF($A195="","",IFERROR(INDEX(Maestro!$C:$C,MATCH($A195,Maestro!$A:$A,0)),"Código no existe"))</f>
        <v/>
      </c>
      <c r="D195" s="13" t="str">
        <f aca="false">IF($A195="","",IFERROR(INDEX(Maestro!$D:$D,MATCH($A195,Maestro!$A:$A,0))&amp;"",""))</f>
        <v/>
      </c>
      <c r="E195" s="13" t="str">
        <f aca="false">IF($A195="","",IFERROR(IF(INDEX(Maestro!$I:$I,MATCH($A195,Maestro!$A:$A,0))="Peso","Por libra",TRIM(INDEX(Maestro!$E:$E,MATCH($A195,Maestro!$A:$A,0))&amp;" "&amp;INDEX(Maestro!$F:$F,MATCH($A195,Maestro!$A:$A,0))&amp;" "&amp;INDEX(Maestro!$G:$G,MATCH($A195,Maestro!$A:$A,0)))),""))</f>
        <v/>
      </c>
      <c r="F195" s="13" t="str">
        <f aca="false">IF($A195="","",IFERROR(INDEX(Maestro!$H:$H,MATCH($A195,Maestro!$A:$A,0))&amp;"",""))</f>
        <v/>
      </c>
      <c r="G195" s="13" t="str">
        <f aca="false">IF($A195="","",IFERROR(INDEX(Maestro!$I:$I,MATCH($A195,Maestro!$A:$A,0))&amp;"",""))</f>
        <v/>
      </c>
      <c r="H195" s="14"/>
      <c r="I195" s="11"/>
    </row>
    <row r="196" customFormat="false" ht="15" hidden="false" customHeight="false" outlineLevel="0" collapsed="false">
      <c r="A196" s="11"/>
      <c r="B196" s="12"/>
      <c r="C196" s="13" t="str">
        <f aca="false">IF($A196="","",IFERROR(INDEX(Maestro!$C:$C,MATCH($A196,Maestro!$A:$A,0)),"Código no existe"))</f>
        <v/>
      </c>
      <c r="D196" s="13" t="str">
        <f aca="false">IF($A196="","",IFERROR(INDEX(Maestro!$D:$D,MATCH($A196,Maestro!$A:$A,0))&amp;"",""))</f>
        <v/>
      </c>
      <c r="E196" s="13" t="str">
        <f aca="false">IF($A196="","",IFERROR(IF(INDEX(Maestro!$I:$I,MATCH($A196,Maestro!$A:$A,0))="Peso","Por libra",TRIM(INDEX(Maestro!$E:$E,MATCH($A196,Maestro!$A:$A,0))&amp;" "&amp;INDEX(Maestro!$F:$F,MATCH($A196,Maestro!$A:$A,0))&amp;" "&amp;INDEX(Maestro!$G:$G,MATCH($A196,Maestro!$A:$A,0)))),""))</f>
        <v/>
      </c>
      <c r="F196" s="13" t="str">
        <f aca="false">IF($A196="","",IFERROR(INDEX(Maestro!$H:$H,MATCH($A196,Maestro!$A:$A,0))&amp;"",""))</f>
        <v/>
      </c>
      <c r="G196" s="13" t="str">
        <f aca="false">IF($A196="","",IFERROR(INDEX(Maestro!$I:$I,MATCH($A196,Maestro!$A:$A,0))&amp;"",""))</f>
        <v/>
      </c>
      <c r="H196" s="14"/>
      <c r="I196" s="11"/>
    </row>
    <row r="197" customFormat="false" ht="15" hidden="false" customHeight="false" outlineLevel="0" collapsed="false">
      <c r="A197" s="11"/>
      <c r="B197" s="12"/>
      <c r="C197" s="13" t="str">
        <f aca="false">IF($A197="","",IFERROR(INDEX(Maestro!$C:$C,MATCH($A197,Maestro!$A:$A,0)),"Código no existe"))</f>
        <v/>
      </c>
      <c r="D197" s="13" t="str">
        <f aca="false">IF($A197="","",IFERROR(INDEX(Maestro!$D:$D,MATCH($A197,Maestro!$A:$A,0))&amp;"",""))</f>
        <v/>
      </c>
      <c r="E197" s="13" t="str">
        <f aca="false">IF($A197="","",IFERROR(IF(INDEX(Maestro!$I:$I,MATCH($A197,Maestro!$A:$A,0))="Peso","Por libra",TRIM(INDEX(Maestro!$E:$E,MATCH($A197,Maestro!$A:$A,0))&amp;" "&amp;INDEX(Maestro!$F:$F,MATCH($A197,Maestro!$A:$A,0))&amp;" "&amp;INDEX(Maestro!$G:$G,MATCH($A197,Maestro!$A:$A,0)))),""))</f>
        <v/>
      </c>
      <c r="F197" s="13" t="str">
        <f aca="false">IF($A197="","",IFERROR(INDEX(Maestro!$H:$H,MATCH($A197,Maestro!$A:$A,0))&amp;"",""))</f>
        <v/>
      </c>
      <c r="G197" s="13" t="str">
        <f aca="false">IF($A197="","",IFERROR(INDEX(Maestro!$I:$I,MATCH($A197,Maestro!$A:$A,0))&amp;"",""))</f>
        <v/>
      </c>
      <c r="H197" s="14"/>
      <c r="I197" s="11"/>
    </row>
    <row r="198" customFormat="false" ht="15" hidden="false" customHeight="false" outlineLevel="0" collapsed="false">
      <c r="A198" s="11"/>
      <c r="B198" s="12"/>
      <c r="C198" s="13" t="str">
        <f aca="false">IF($A198="","",IFERROR(INDEX(Maestro!$C:$C,MATCH($A198,Maestro!$A:$A,0)),"Código no existe"))</f>
        <v/>
      </c>
      <c r="D198" s="13" t="str">
        <f aca="false">IF($A198="","",IFERROR(INDEX(Maestro!$D:$D,MATCH($A198,Maestro!$A:$A,0))&amp;"",""))</f>
        <v/>
      </c>
      <c r="E198" s="13" t="str">
        <f aca="false">IF($A198="","",IFERROR(IF(INDEX(Maestro!$I:$I,MATCH($A198,Maestro!$A:$A,0))="Peso","Por libra",TRIM(INDEX(Maestro!$E:$E,MATCH($A198,Maestro!$A:$A,0))&amp;" "&amp;INDEX(Maestro!$F:$F,MATCH($A198,Maestro!$A:$A,0))&amp;" "&amp;INDEX(Maestro!$G:$G,MATCH($A198,Maestro!$A:$A,0)))),""))</f>
        <v/>
      </c>
      <c r="F198" s="13" t="str">
        <f aca="false">IF($A198="","",IFERROR(INDEX(Maestro!$H:$H,MATCH($A198,Maestro!$A:$A,0))&amp;"",""))</f>
        <v/>
      </c>
      <c r="G198" s="13" t="str">
        <f aca="false">IF($A198="","",IFERROR(INDEX(Maestro!$I:$I,MATCH($A198,Maestro!$A:$A,0))&amp;"",""))</f>
        <v/>
      </c>
      <c r="H198" s="14"/>
      <c r="I198" s="11"/>
    </row>
    <row r="199" customFormat="false" ht="15" hidden="false" customHeight="false" outlineLevel="0" collapsed="false">
      <c r="A199" s="11"/>
      <c r="B199" s="12"/>
      <c r="C199" s="13" t="str">
        <f aca="false">IF($A199="","",IFERROR(INDEX(Maestro!$C:$C,MATCH($A199,Maestro!$A:$A,0)),"Código no existe"))</f>
        <v/>
      </c>
      <c r="D199" s="13" t="str">
        <f aca="false">IF($A199="","",IFERROR(INDEX(Maestro!$D:$D,MATCH($A199,Maestro!$A:$A,0))&amp;"",""))</f>
        <v/>
      </c>
      <c r="E199" s="13" t="str">
        <f aca="false">IF($A199="","",IFERROR(IF(INDEX(Maestro!$I:$I,MATCH($A199,Maestro!$A:$A,0))="Peso","Por libra",TRIM(INDEX(Maestro!$E:$E,MATCH($A199,Maestro!$A:$A,0))&amp;" "&amp;INDEX(Maestro!$F:$F,MATCH($A199,Maestro!$A:$A,0))&amp;" "&amp;INDEX(Maestro!$G:$G,MATCH($A199,Maestro!$A:$A,0)))),""))</f>
        <v/>
      </c>
      <c r="F199" s="13" t="str">
        <f aca="false">IF($A199="","",IFERROR(INDEX(Maestro!$H:$H,MATCH($A199,Maestro!$A:$A,0))&amp;"",""))</f>
        <v/>
      </c>
      <c r="G199" s="13" t="str">
        <f aca="false">IF($A199="","",IFERROR(INDEX(Maestro!$I:$I,MATCH($A199,Maestro!$A:$A,0))&amp;"",""))</f>
        <v/>
      </c>
      <c r="H199" s="14"/>
      <c r="I199" s="11"/>
    </row>
    <row r="200" customFormat="false" ht="15" hidden="false" customHeight="false" outlineLevel="0" collapsed="false">
      <c r="A200" s="11"/>
      <c r="B200" s="12"/>
      <c r="C200" s="13" t="str">
        <f aca="false">IF($A200="","",IFERROR(INDEX(Maestro!$C:$C,MATCH($A200,Maestro!$A:$A,0)),"Código no existe"))</f>
        <v/>
      </c>
      <c r="D200" s="13" t="str">
        <f aca="false">IF($A200="","",IFERROR(INDEX(Maestro!$D:$D,MATCH($A200,Maestro!$A:$A,0))&amp;"",""))</f>
        <v/>
      </c>
      <c r="E200" s="13" t="str">
        <f aca="false">IF($A200="","",IFERROR(IF(INDEX(Maestro!$I:$I,MATCH($A200,Maestro!$A:$A,0))="Peso","Por libra",TRIM(INDEX(Maestro!$E:$E,MATCH($A200,Maestro!$A:$A,0))&amp;" "&amp;INDEX(Maestro!$F:$F,MATCH($A200,Maestro!$A:$A,0))&amp;" "&amp;INDEX(Maestro!$G:$G,MATCH($A200,Maestro!$A:$A,0)))),""))</f>
        <v/>
      </c>
      <c r="F200" s="13" t="str">
        <f aca="false">IF($A200="","",IFERROR(INDEX(Maestro!$H:$H,MATCH($A200,Maestro!$A:$A,0))&amp;"",""))</f>
        <v/>
      </c>
      <c r="G200" s="13" t="str">
        <f aca="false">IF($A200="","",IFERROR(INDEX(Maestro!$I:$I,MATCH($A200,Maestro!$A:$A,0))&amp;"",""))</f>
        <v/>
      </c>
      <c r="H200" s="14"/>
      <c r="I200" s="11"/>
    </row>
    <row r="201" customFormat="false" ht="15" hidden="false" customHeight="false" outlineLevel="0" collapsed="false">
      <c r="A201" s="11"/>
      <c r="B201" s="12"/>
      <c r="C201" s="13" t="str">
        <f aca="false">IF($A201="","",IFERROR(INDEX(Maestro!$C:$C,MATCH($A201,Maestro!$A:$A,0)),"Código no existe"))</f>
        <v/>
      </c>
      <c r="D201" s="13" t="str">
        <f aca="false">IF($A201="","",IFERROR(INDEX(Maestro!$D:$D,MATCH($A201,Maestro!$A:$A,0))&amp;"",""))</f>
        <v/>
      </c>
      <c r="E201" s="13" t="str">
        <f aca="false">IF($A201="","",IFERROR(IF(INDEX(Maestro!$I:$I,MATCH($A201,Maestro!$A:$A,0))="Peso","Por libra",TRIM(INDEX(Maestro!$E:$E,MATCH($A201,Maestro!$A:$A,0))&amp;" "&amp;INDEX(Maestro!$F:$F,MATCH($A201,Maestro!$A:$A,0))&amp;" "&amp;INDEX(Maestro!$G:$G,MATCH($A201,Maestro!$A:$A,0)))),""))</f>
        <v/>
      </c>
      <c r="F201" s="13" t="str">
        <f aca="false">IF($A201="","",IFERROR(INDEX(Maestro!$H:$H,MATCH($A201,Maestro!$A:$A,0))&amp;"",""))</f>
        <v/>
      </c>
      <c r="G201" s="13" t="str">
        <f aca="false">IF($A201="","",IFERROR(INDEX(Maestro!$I:$I,MATCH($A201,Maestro!$A:$A,0))&amp;"",""))</f>
        <v/>
      </c>
      <c r="H201" s="14"/>
      <c r="I201" s="11"/>
    </row>
    <row r="202" customFormat="false" ht="15" hidden="false" customHeight="false" outlineLevel="0" collapsed="false">
      <c r="A202" s="11"/>
      <c r="B202" s="12"/>
      <c r="C202" s="13" t="str">
        <f aca="false">IF($A202="","",IFERROR(INDEX(Maestro!$C:$C,MATCH($A202,Maestro!$A:$A,0)),"Código no existe"))</f>
        <v/>
      </c>
      <c r="D202" s="13" t="str">
        <f aca="false">IF($A202="","",IFERROR(INDEX(Maestro!$D:$D,MATCH($A202,Maestro!$A:$A,0))&amp;"",""))</f>
        <v/>
      </c>
      <c r="E202" s="13" t="str">
        <f aca="false">IF($A202="","",IFERROR(IF(INDEX(Maestro!$I:$I,MATCH($A202,Maestro!$A:$A,0))="Peso","Por libra",TRIM(INDEX(Maestro!$E:$E,MATCH($A202,Maestro!$A:$A,0))&amp;" "&amp;INDEX(Maestro!$F:$F,MATCH($A202,Maestro!$A:$A,0))&amp;" "&amp;INDEX(Maestro!$G:$G,MATCH($A202,Maestro!$A:$A,0)))),""))</f>
        <v/>
      </c>
      <c r="F202" s="13" t="str">
        <f aca="false">IF($A202="","",IFERROR(INDEX(Maestro!$H:$H,MATCH($A202,Maestro!$A:$A,0))&amp;"",""))</f>
        <v/>
      </c>
      <c r="G202" s="13" t="str">
        <f aca="false">IF($A202="","",IFERROR(INDEX(Maestro!$I:$I,MATCH($A202,Maestro!$A:$A,0))&amp;"",""))</f>
        <v/>
      </c>
      <c r="H202" s="14"/>
      <c r="I202" s="11"/>
    </row>
    <row r="203" customFormat="false" ht="15" hidden="false" customHeight="false" outlineLevel="0" collapsed="false">
      <c r="A203" s="11"/>
      <c r="B203" s="12"/>
      <c r="C203" s="13" t="str">
        <f aca="false">IF($A203="","",IFERROR(INDEX(Maestro!$C:$C,MATCH($A203,Maestro!$A:$A,0)),"Código no existe"))</f>
        <v/>
      </c>
      <c r="D203" s="13" t="str">
        <f aca="false">IF($A203="","",IFERROR(INDEX(Maestro!$D:$D,MATCH($A203,Maestro!$A:$A,0))&amp;"",""))</f>
        <v/>
      </c>
      <c r="E203" s="13" t="str">
        <f aca="false">IF($A203="","",IFERROR(IF(INDEX(Maestro!$I:$I,MATCH($A203,Maestro!$A:$A,0))="Peso","Por libra",TRIM(INDEX(Maestro!$E:$E,MATCH($A203,Maestro!$A:$A,0))&amp;" "&amp;INDEX(Maestro!$F:$F,MATCH($A203,Maestro!$A:$A,0))&amp;" "&amp;INDEX(Maestro!$G:$G,MATCH($A203,Maestro!$A:$A,0)))),""))</f>
        <v/>
      </c>
      <c r="F203" s="13" t="str">
        <f aca="false">IF($A203="","",IFERROR(INDEX(Maestro!$H:$H,MATCH($A203,Maestro!$A:$A,0))&amp;"",""))</f>
        <v/>
      </c>
      <c r="G203" s="13" t="str">
        <f aca="false">IF($A203="","",IFERROR(INDEX(Maestro!$I:$I,MATCH($A203,Maestro!$A:$A,0))&amp;"",""))</f>
        <v/>
      </c>
      <c r="H203" s="14"/>
      <c r="I203" s="11"/>
    </row>
    <row r="204" customFormat="false" ht="15" hidden="false" customHeight="false" outlineLevel="0" collapsed="false">
      <c r="A204" s="11"/>
      <c r="B204" s="12"/>
      <c r="C204" s="13" t="str">
        <f aca="false">IF($A204="","",IFERROR(INDEX(Maestro!$C:$C,MATCH($A204,Maestro!$A:$A,0)),"Código no existe"))</f>
        <v/>
      </c>
      <c r="D204" s="13" t="str">
        <f aca="false">IF($A204="","",IFERROR(INDEX(Maestro!$D:$D,MATCH($A204,Maestro!$A:$A,0))&amp;"",""))</f>
        <v/>
      </c>
      <c r="E204" s="13" t="str">
        <f aca="false">IF($A204="","",IFERROR(IF(INDEX(Maestro!$I:$I,MATCH($A204,Maestro!$A:$A,0))="Peso","Por libra",TRIM(INDEX(Maestro!$E:$E,MATCH($A204,Maestro!$A:$A,0))&amp;" "&amp;INDEX(Maestro!$F:$F,MATCH($A204,Maestro!$A:$A,0))&amp;" "&amp;INDEX(Maestro!$G:$G,MATCH($A204,Maestro!$A:$A,0)))),""))</f>
        <v/>
      </c>
      <c r="F204" s="13" t="str">
        <f aca="false">IF($A204="","",IFERROR(INDEX(Maestro!$H:$H,MATCH($A204,Maestro!$A:$A,0))&amp;"",""))</f>
        <v/>
      </c>
      <c r="G204" s="13" t="str">
        <f aca="false">IF($A204="","",IFERROR(INDEX(Maestro!$I:$I,MATCH($A204,Maestro!$A:$A,0))&amp;"",""))</f>
        <v/>
      </c>
      <c r="H204" s="14"/>
      <c r="I204" s="11"/>
    </row>
    <row r="205" customFormat="false" ht="15" hidden="false" customHeight="false" outlineLevel="0" collapsed="false">
      <c r="A205" s="11"/>
      <c r="B205" s="12"/>
      <c r="C205" s="13" t="str">
        <f aca="false">IF($A205="","",IFERROR(INDEX(Maestro!$C:$C,MATCH($A205,Maestro!$A:$A,0)),"Código no existe"))</f>
        <v/>
      </c>
      <c r="D205" s="13" t="str">
        <f aca="false">IF($A205="","",IFERROR(INDEX(Maestro!$D:$D,MATCH($A205,Maestro!$A:$A,0))&amp;"",""))</f>
        <v/>
      </c>
      <c r="E205" s="13" t="str">
        <f aca="false">IF($A205="","",IFERROR(IF(INDEX(Maestro!$I:$I,MATCH($A205,Maestro!$A:$A,0))="Peso","Por libra",TRIM(INDEX(Maestro!$E:$E,MATCH($A205,Maestro!$A:$A,0))&amp;" "&amp;INDEX(Maestro!$F:$F,MATCH($A205,Maestro!$A:$A,0))&amp;" "&amp;INDEX(Maestro!$G:$G,MATCH($A205,Maestro!$A:$A,0)))),""))</f>
        <v/>
      </c>
      <c r="F205" s="13" t="str">
        <f aca="false">IF($A205="","",IFERROR(INDEX(Maestro!$H:$H,MATCH($A205,Maestro!$A:$A,0))&amp;"",""))</f>
        <v/>
      </c>
      <c r="G205" s="13" t="str">
        <f aca="false">IF($A205="","",IFERROR(INDEX(Maestro!$I:$I,MATCH($A205,Maestro!$A:$A,0))&amp;"",""))</f>
        <v/>
      </c>
      <c r="H205" s="14"/>
      <c r="I205" s="11"/>
    </row>
    <row r="206" customFormat="false" ht="15" hidden="false" customHeight="false" outlineLevel="0" collapsed="false">
      <c r="A206" s="11"/>
      <c r="B206" s="12"/>
      <c r="C206" s="13" t="str">
        <f aca="false">IF($A206="","",IFERROR(INDEX(Maestro!$C:$C,MATCH($A206,Maestro!$A:$A,0)),"Código no existe"))</f>
        <v/>
      </c>
      <c r="D206" s="13" t="str">
        <f aca="false">IF($A206="","",IFERROR(INDEX(Maestro!$D:$D,MATCH($A206,Maestro!$A:$A,0))&amp;"",""))</f>
        <v/>
      </c>
      <c r="E206" s="13" t="str">
        <f aca="false">IF($A206="","",IFERROR(IF(INDEX(Maestro!$I:$I,MATCH($A206,Maestro!$A:$A,0))="Peso","Por libra",TRIM(INDEX(Maestro!$E:$E,MATCH($A206,Maestro!$A:$A,0))&amp;" "&amp;INDEX(Maestro!$F:$F,MATCH($A206,Maestro!$A:$A,0))&amp;" "&amp;INDEX(Maestro!$G:$G,MATCH($A206,Maestro!$A:$A,0)))),""))</f>
        <v/>
      </c>
      <c r="F206" s="13" t="str">
        <f aca="false">IF($A206="","",IFERROR(INDEX(Maestro!$H:$H,MATCH($A206,Maestro!$A:$A,0))&amp;"",""))</f>
        <v/>
      </c>
      <c r="G206" s="13" t="str">
        <f aca="false">IF($A206="","",IFERROR(INDEX(Maestro!$I:$I,MATCH($A206,Maestro!$A:$A,0))&amp;"",""))</f>
        <v/>
      </c>
      <c r="H206" s="14"/>
      <c r="I206" s="11"/>
    </row>
    <row r="207" customFormat="false" ht="15" hidden="false" customHeight="false" outlineLevel="0" collapsed="false">
      <c r="A207" s="11"/>
      <c r="B207" s="12"/>
      <c r="C207" s="13" t="str">
        <f aca="false">IF($A207="","",IFERROR(INDEX(Maestro!$C:$C,MATCH($A207,Maestro!$A:$A,0)),"Código no existe"))</f>
        <v/>
      </c>
      <c r="D207" s="13" t="str">
        <f aca="false">IF($A207="","",IFERROR(INDEX(Maestro!$D:$D,MATCH($A207,Maestro!$A:$A,0))&amp;"",""))</f>
        <v/>
      </c>
      <c r="E207" s="13" t="str">
        <f aca="false">IF($A207="","",IFERROR(IF(INDEX(Maestro!$I:$I,MATCH($A207,Maestro!$A:$A,0))="Peso","Por libra",TRIM(INDEX(Maestro!$E:$E,MATCH($A207,Maestro!$A:$A,0))&amp;" "&amp;INDEX(Maestro!$F:$F,MATCH($A207,Maestro!$A:$A,0))&amp;" "&amp;INDEX(Maestro!$G:$G,MATCH($A207,Maestro!$A:$A,0)))),""))</f>
        <v/>
      </c>
      <c r="F207" s="13" t="str">
        <f aca="false">IF($A207="","",IFERROR(INDEX(Maestro!$H:$H,MATCH($A207,Maestro!$A:$A,0))&amp;"",""))</f>
        <v/>
      </c>
      <c r="G207" s="13" t="str">
        <f aca="false">IF($A207="","",IFERROR(INDEX(Maestro!$I:$I,MATCH($A207,Maestro!$A:$A,0))&amp;"",""))</f>
        <v/>
      </c>
      <c r="H207" s="14"/>
      <c r="I207" s="11"/>
    </row>
    <row r="208" customFormat="false" ht="15" hidden="false" customHeight="false" outlineLevel="0" collapsed="false">
      <c r="A208" s="11"/>
      <c r="B208" s="12"/>
      <c r="C208" s="13" t="str">
        <f aca="false">IF($A208="","",IFERROR(INDEX(Maestro!$C:$C,MATCH($A208,Maestro!$A:$A,0)),"Código no existe"))</f>
        <v/>
      </c>
      <c r="D208" s="13" t="str">
        <f aca="false">IF($A208="","",IFERROR(INDEX(Maestro!$D:$D,MATCH($A208,Maestro!$A:$A,0))&amp;"",""))</f>
        <v/>
      </c>
      <c r="E208" s="13" t="str">
        <f aca="false">IF($A208="","",IFERROR(IF(INDEX(Maestro!$I:$I,MATCH($A208,Maestro!$A:$A,0))="Peso","Por libra",TRIM(INDEX(Maestro!$E:$E,MATCH($A208,Maestro!$A:$A,0))&amp;" "&amp;INDEX(Maestro!$F:$F,MATCH($A208,Maestro!$A:$A,0))&amp;" "&amp;INDEX(Maestro!$G:$G,MATCH($A208,Maestro!$A:$A,0)))),""))</f>
        <v/>
      </c>
      <c r="F208" s="13" t="str">
        <f aca="false">IF($A208="","",IFERROR(INDEX(Maestro!$H:$H,MATCH($A208,Maestro!$A:$A,0))&amp;"",""))</f>
        <v/>
      </c>
      <c r="G208" s="13" t="str">
        <f aca="false">IF($A208="","",IFERROR(INDEX(Maestro!$I:$I,MATCH($A208,Maestro!$A:$A,0))&amp;"",""))</f>
        <v/>
      </c>
      <c r="H208" s="14"/>
      <c r="I208" s="11"/>
    </row>
    <row r="209" customFormat="false" ht="15" hidden="false" customHeight="false" outlineLevel="0" collapsed="false">
      <c r="A209" s="11"/>
      <c r="B209" s="12"/>
      <c r="C209" s="13" t="str">
        <f aca="false">IF($A209="","",IFERROR(INDEX(Maestro!$C:$C,MATCH($A209,Maestro!$A:$A,0)),"Código no existe"))</f>
        <v/>
      </c>
      <c r="D209" s="13" t="str">
        <f aca="false">IF($A209="","",IFERROR(INDEX(Maestro!$D:$D,MATCH($A209,Maestro!$A:$A,0))&amp;"",""))</f>
        <v/>
      </c>
      <c r="E209" s="13" t="str">
        <f aca="false">IF($A209="","",IFERROR(IF(INDEX(Maestro!$I:$I,MATCH($A209,Maestro!$A:$A,0))="Peso","Por libra",TRIM(INDEX(Maestro!$E:$E,MATCH($A209,Maestro!$A:$A,0))&amp;" "&amp;INDEX(Maestro!$F:$F,MATCH($A209,Maestro!$A:$A,0))&amp;" "&amp;INDEX(Maestro!$G:$G,MATCH($A209,Maestro!$A:$A,0)))),""))</f>
        <v/>
      </c>
      <c r="F209" s="13" t="str">
        <f aca="false">IF($A209="","",IFERROR(INDEX(Maestro!$H:$H,MATCH($A209,Maestro!$A:$A,0))&amp;"",""))</f>
        <v/>
      </c>
      <c r="G209" s="13" t="str">
        <f aca="false">IF($A209="","",IFERROR(INDEX(Maestro!$I:$I,MATCH($A209,Maestro!$A:$A,0))&amp;"",""))</f>
        <v/>
      </c>
      <c r="H209" s="14"/>
      <c r="I209" s="11"/>
    </row>
    <row r="210" customFormat="false" ht="15" hidden="false" customHeight="false" outlineLevel="0" collapsed="false">
      <c r="A210" s="11"/>
      <c r="B210" s="12"/>
      <c r="C210" s="13" t="str">
        <f aca="false">IF($A210="","",IFERROR(INDEX(Maestro!$C:$C,MATCH($A210,Maestro!$A:$A,0)),"Código no existe"))</f>
        <v/>
      </c>
      <c r="D210" s="13" t="str">
        <f aca="false">IF($A210="","",IFERROR(INDEX(Maestro!$D:$D,MATCH($A210,Maestro!$A:$A,0))&amp;"",""))</f>
        <v/>
      </c>
      <c r="E210" s="13" t="str">
        <f aca="false">IF($A210="","",IFERROR(IF(INDEX(Maestro!$I:$I,MATCH($A210,Maestro!$A:$A,0))="Peso","Por libra",TRIM(INDEX(Maestro!$E:$E,MATCH($A210,Maestro!$A:$A,0))&amp;" "&amp;INDEX(Maestro!$F:$F,MATCH($A210,Maestro!$A:$A,0))&amp;" "&amp;INDEX(Maestro!$G:$G,MATCH($A210,Maestro!$A:$A,0)))),""))</f>
        <v/>
      </c>
      <c r="F210" s="13" t="str">
        <f aca="false">IF($A210="","",IFERROR(INDEX(Maestro!$H:$H,MATCH($A210,Maestro!$A:$A,0))&amp;"",""))</f>
        <v/>
      </c>
      <c r="G210" s="13" t="str">
        <f aca="false">IF($A210="","",IFERROR(INDEX(Maestro!$I:$I,MATCH($A210,Maestro!$A:$A,0))&amp;"",""))</f>
        <v/>
      </c>
      <c r="H210" s="14"/>
      <c r="I210" s="11"/>
    </row>
    <row r="211" customFormat="false" ht="15" hidden="false" customHeight="false" outlineLevel="0" collapsed="false">
      <c r="A211" s="11"/>
      <c r="B211" s="12"/>
      <c r="C211" s="13" t="str">
        <f aca="false">IF($A211="","",IFERROR(INDEX(Maestro!$C:$C,MATCH($A211,Maestro!$A:$A,0)),"Código no existe"))</f>
        <v/>
      </c>
      <c r="D211" s="13" t="str">
        <f aca="false">IF($A211="","",IFERROR(INDEX(Maestro!$D:$D,MATCH($A211,Maestro!$A:$A,0))&amp;"",""))</f>
        <v/>
      </c>
      <c r="E211" s="13" t="str">
        <f aca="false">IF($A211="","",IFERROR(IF(INDEX(Maestro!$I:$I,MATCH($A211,Maestro!$A:$A,0))="Peso","Por libra",TRIM(INDEX(Maestro!$E:$E,MATCH($A211,Maestro!$A:$A,0))&amp;" "&amp;INDEX(Maestro!$F:$F,MATCH($A211,Maestro!$A:$A,0))&amp;" "&amp;INDEX(Maestro!$G:$G,MATCH($A211,Maestro!$A:$A,0)))),""))</f>
        <v/>
      </c>
      <c r="F211" s="13" t="str">
        <f aca="false">IF($A211="","",IFERROR(INDEX(Maestro!$H:$H,MATCH($A211,Maestro!$A:$A,0))&amp;"",""))</f>
        <v/>
      </c>
      <c r="G211" s="13" t="str">
        <f aca="false">IF($A211="","",IFERROR(INDEX(Maestro!$I:$I,MATCH($A211,Maestro!$A:$A,0))&amp;"",""))</f>
        <v/>
      </c>
      <c r="H211" s="14"/>
      <c r="I211" s="11"/>
    </row>
    <row r="212" customFormat="false" ht="15" hidden="false" customHeight="false" outlineLevel="0" collapsed="false">
      <c r="A212" s="11"/>
      <c r="B212" s="12"/>
      <c r="C212" s="13" t="str">
        <f aca="false">IF($A212="","",IFERROR(INDEX(Maestro!$C:$C,MATCH($A212,Maestro!$A:$A,0)),"Código no existe"))</f>
        <v/>
      </c>
      <c r="D212" s="13" t="str">
        <f aca="false">IF($A212="","",IFERROR(INDEX(Maestro!$D:$D,MATCH($A212,Maestro!$A:$A,0))&amp;"",""))</f>
        <v/>
      </c>
      <c r="E212" s="13" t="str">
        <f aca="false">IF($A212="","",IFERROR(IF(INDEX(Maestro!$I:$I,MATCH($A212,Maestro!$A:$A,0))="Peso","Por libra",TRIM(INDEX(Maestro!$E:$E,MATCH($A212,Maestro!$A:$A,0))&amp;" "&amp;INDEX(Maestro!$F:$F,MATCH($A212,Maestro!$A:$A,0))&amp;" "&amp;INDEX(Maestro!$G:$G,MATCH($A212,Maestro!$A:$A,0)))),""))</f>
        <v/>
      </c>
      <c r="F212" s="13" t="str">
        <f aca="false">IF($A212="","",IFERROR(INDEX(Maestro!$H:$H,MATCH($A212,Maestro!$A:$A,0))&amp;"",""))</f>
        <v/>
      </c>
      <c r="G212" s="13" t="str">
        <f aca="false">IF($A212="","",IFERROR(INDEX(Maestro!$I:$I,MATCH($A212,Maestro!$A:$A,0))&amp;"",""))</f>
        <v/>
      </c>
      <c r="H212" s="14"/>
      <c r="I212" s="11"/>
    </row>
    <row r="213" customFormat="false" ht="15" hidden="false" customHeight="false" outlineLevel="0" collapsed="false">
      <c r="A213" s="11"/>
      <c r="B213" s="12"/>
      <c r="C213" s="13" t="str">
        <f aca="false">IF($A213="","",IFERROR(INDEX(Maestro!$C:$C,MATCH($A213,Maestro!$A:$A,0)),"Código no existe"))</f>
        <v/>
      </c>
      <c r="D213" s="13" t="str">
        <f aca="false">IF($A213="","",IFERROR(INDEX(Maestro!$D:$D,MATCH($A213,Maestro!$A:$A,0))&amp;"",""))</f>
        <v/>
      </c>
      <c r="E213" s="13" t="str">
        <f aca="false">IF($A213="","",IFERROR(IF(INDEX(Maestro!$I:$I,MATCH($A213,Maestro!$A:$A,0))="Peso","Por libra",TRIM(INDEX(Maestro!$E:$E,MATCH($A213,Maestro!$A:$A,0))&amp;" "&amp;INDEX(Maestro!$F:$F,MATCH($A213,Maestro!$A:$A,0))&amp;" "&amp;INDEX(Maestro!$G:$G,MATCH($A213,Maestro!$A:$A,0)))),""))</f>
        <v/>
      </c>
      <c r="F213" s="13" t="str">
        <f aca="false">IF($A213="","",IFERROR(INDEX(Maestro!$H:$H,MATCH($A213,Maestro!$A:$A,0))&amp;"",""))</f>
        <v/>
      </c>
      <c r="G213" s="13" t="str">
        <f aca="false">IF($A213="","",IFERROR(INDEX(Maestro!$I:$I,MATCH($A213,Maestro!$A:$A,0))&amp;"",""))</f>
        <v/>
      </c>
      <c r="H213" s="14"/>
      <c r="I213" s="11"/>
    </row>
    <row r="214" customFormat="false" ht="15" hidden="false" customHeight="false" outlineLevel="0" collapsed="false">
      <c r="A214" s="11"/>
      <c r="B214" s="12"/>
      <c r="C214" s="13" t="str">
        <f aca="false">IF($A214="","",IFERROR(INDEX(Maestro!$C:$C,MATCH($A214,Maestro!$A:$A,0)),"Código no existe"))</f>
        <v/>
      </c>
      <c r="D214" s="13" t="str">
        <f aca="false">IF($A214="","",IFERROR(INDEX(Maestro!$D:$D,MATCH($A214,Maestro!$A:$A,0))&amp;"",""))</f>
        <v/>
      </c>
      <c r="E214" s="13" t="str">
        <f aca="false">IF($A214="","",IFERROR(IF(INDEX(Maestro!$I:$I,MATCH($A214,Maestro!$A:$A,0))="Peso","Por libra",TRIM(INDEX(Maestro!$E:$E,MATCH($A214,Maestro!$A:$A,0))&amp;" "&amp;INDEX(Maestro!$F:$F,MATCH($A214,Maestro!$A:$A,0))&amp;" "&amp;INDEX(Maestro!$G:$G,MATCH($A214,Maestro!$A:$A,0)))),""))</f>
        <v/>
      </c>
      <c r="F214" s="13" t="str">
        <f aca="false">IF($A214="","",IFERROR(INDEX(Maestro!$H:$H,MATCH($A214,Maestro!$A:$A,0))&amp;"",""))</f>
        <v/>
      </c>
      <c r="G214" s="13" t="str">
        <f aca="false">IF($A214="","",IFERROR(INDEX(Maestro!$I:$I,MATCH($A214,Maestro!$A:$A,0))&amp;"",""))</f>
        <v/>
      </c>
      <c r="H214" s="14"/>
      <c r="I214" s="11"/>
    </row>
    <row r="215" customFormat="false" ht="15" hidden="false" customHeight="false" outlineLevel="0" collapsed="false">
      <c r="A215" s="11"/>
      <c r="B215" s="12"/>
      <c r="C215" s="13" t="str">
        <f aca="false">IF($A215="","",IFERROR(INDEX(Maestro!$C:$C,MATCH($A215,Maestro!$A:$A,0)),"Código no existe"))</f>
        <v/>
      </c>
      <c r="D215" s="13" t="str">
        <f aca="false">IF($A215="","",IFERROR(INDEX(Maestro!$D:$D,MATCH($A215,Maestro!$A:$A,0))&amp;"",""))</f>
        <v/>
      </c>
      <c r="E215" s="13" t="str">
        <f aca="false">IF($A215="","",IFERROR(IF(INDEX(Maestro!$I:$I,MATCH($A215,Maestro!$A:$A,0))="Peso","Por libra",TRIM(INDEX(Maestro!$E:$E,MATCH($A215,Maestro!$A:$A,0))&amp;" "&amp;INDEX(Maestro!$F:$F,MATCH($A215,Maestro!$A:$A,0))&amp;" "&amp;INDEX(Maestro!$G:$G,MATCH($A215,Maestro!$A:$A,0)))),""))</f>
        <v/>
      </c>
      <c r="F215" s="13" t="str">
        <f aca="false">IF($A215="","",IFERROR(INDEX(Maestro!$H:$H,MATCH($A215,Maestro!$A:$A,0))&amp;"",""))</f>
        <v/>
      </c>
      <c r="G215" s="13" t="str">
        <f aca="false">IF($A215="","",IFERROR(INDEX(Maestro!$I:$I,MATCH($A215,Maestro!$A:$A,0))&amp;"",""))</f>
        <v/>
      </c>
      <c r="H215" s="14"/>
      <c r="I215" s="11"/>
    </row>
    <row r="216" customFormat="false" ht="15" hidden="false" customHeight="false" outlineLevel="0" collapsed="false">
      <c r="A216" s="11"/>
      <c r="B216" s="12"/>
      <c r="C216" s="13" t="str">
        <f aca="false">IF($A216="","",IFERROR(INDEX(Maestro!$C:$C,MATCH($A216,Maestro!$A:$A,0)),"Código no existe"))</f>
        <v/>
      </c>
      <c r="D216" s="13" t="str">
        <f aca="false">IF($A216="","",IFERROR(INDEX(Maestro!$D:$D,MATCH($A216,Maestro!$A:$A,0))&amp;"",""))</f>
        <v/>
      </c>
      <c r="E216" s="13" t="str">
        <f aca="false">IF($A216="","",IFERROR(IF(INDEX(Maestro!$I:$I,MATCH($A216,Maestro!$A:$A,0))="Peso","Por libra",TRIM(INDEX(Maestro!$E:$E,MATCH($A216,Maestro!$A:$A,0))&amp;" "&amp;INDEX(Maestro!$F:$F,MATCH($A216,Maestro!$A:$A,0))&amp;" "&amp;INDEX(Maestro!$G:$G,MATCH($A216,Maestro!$A:$A,0)))),""))</f>
        <v/>
      </c>
      <c r="F216" s="13" t="str">
        <f aca="false">IF($A216="","",IFERROR(INDEX(Maestro!$H:$H,MATCH($A216,Maestro!$A:$A,0))&amp;"",""))</f>
        <v/>
      </c>
      <c r="G216" s="13" t="str">
        <f aca="false">IF($A216="","",IFERROR(INDEX(Maestro!$I:$I,MATCH($A216,Maestro!$A:$A,0))&amp;"",""))</f>
        <v/>
      </c>
      <c r="H216" s="14"/>
      <c r="I216" s="11"/>
    </row>
    <row r="217" customFormat="false" ht="15" hidden="false" customHeight="false" outlineLevel="0" collapsed="false">
      <c r="A217" s="11"/>
      <c r="B217" s="12"/>
      <c r="C217" s="13" t="str">
        <f aca="false">IF($A217="","",IFERROR(INDEX(Maestro!$C:$C,MATCH($A217,Maestro!$A:$A,0)),"Código no existe"))</f>
        <v/>
      </c>
      <c r="D217" s="13" t="str">
        <f aca="false">IF($A217="","",IFERROR(INDEX(Maestro!$D:$D,MATCH($A217,Maestro!$A:$A,0))&amp;"",""))</f>
        <v/>
      </c>
      <c r="E217" s="13" t="str">
        <f aca="false">IF($A217="","",IFERROR(IF(INDEX(Maestro!$I:$I,MATCH($A217,Maestro!$A:$A,0))="Peso","Por libra",TRIM(INDEX(Maestro!$E:$E,MATCH($A217,Maestro!$A:$A,0))&amp;" "&amp;INDEX(Maestro!$F:$F,MATCH($A217,Maestro!$A:$A,0))&amp;" "&amp;INDEX(Maestro!$G:$G,MATCH($A217,Maestro!$A:$A,0)))),""))</f>
        <v/>
      </c>
      <c r="F217" s="13" t="str">
        <f aca="false">IF($A217="","",IFERROR(INDEX(Maestro!$H:$H,MATCH($A217,Maestro!$A:$A,0))&amp;"",""))</f>
        <v/>
      </c>
      <c r="G217" s="13" t="str">
        <f aca="false">IF($A217="","",IFERROR(INDEX(Maestro!$I:$I,MATCH($A217,Maestro!$A:$A,0))&amp;"",""))</f>
        <v/>
      </c>
      <c r="H217" s="14"/>
      <c r="I217" s="11"/>
    </row>
    <row r="218" customFormat="false" ht="15" hidden="false" customHeight="false" outlineLevel="0" collapsed="false">
      <c r="A218" s="11"/>
      <c r="B218" s="12"/>
      <c r="C218" s="13" t="str">
        <f aca="false">IF($A218="","",IFERROR(INDEX(Maestro!$C:$C,MATCH($A218,Maestro!$A:$A,0)),"Código no existe"))</f>
        <v/>
      </c>
      <c r="D218" s="13" t="str">
        <f aca="false">IF($A218="","",IFERROR(INDEX(Maestro!$D:$D,MATCH($A218,Maestro!$A:$A,0))&amp;"",""))</f>
        <v/>
      </c>
      <c r="E218" s="13" t="str">
        <f aca="false">IF($A218="","",IFERROR(IF(INDEX(Maestro!$I:$I,MATCH($A218,Maestro!$A:$A,0))="Peso","Por libra",TRIM(INDEX(Maestro!$E:$E,MATCH($A218,Maestro!$A:$A,0))&amp;" "&amp;INDEX(Maestro!$F:$F,MATCH($A218,Maestro!$A:$A,0))&amp;" "&amp;INDEX(Maestro!$G:$G,MATCH($A218,Maestro!$A:$A,0)))),""))</f>
        <v/>
      </c>
      <c r="F218" s="13" t="str">
        <f aca="false">IF($A218="","",IFERROR(INDEX(Maestro!$H:$H,MATCH($A218,Maestro!$A:$A,0))&amp;"",""))</f>
        <v/>
      </c>
      <c r="G218" s="13" t="str">
        <f aca="false">IF($A218="","",IFERROR(INDEX(Maestro!$I:$I,MATCH($A218,Maestro!$A:$A,0))&amp;"",""))</f>
        <v/>
      </c>
      <c r="H218" s="14"/>
      <c r="I218" s="11"/>
    </row>
    <row r="219" customFormat="false" ht="15" hidden="false" customHeight="false" outlineLevel="0" collapsed="false">
      <c r="A219" s="11"/>
      <c r="B219" s="12"/>
      <c r="C219" s="13" t="str">
        <f aca="false">IF($A219="","",IFERROR(INDEX(Maestro!$C:$C,MATCH($A219,Maestro!$A:$A,0)),"Código no existe"))</f>
        <v/>
      </c>
      <c r="D219" s="13" t="str">
        <f aca="false">IF($A219="","",IFERROR(INDEX(Maestro!$D:$D,MATCH($A219,Maestro!$A:$A,0))&amp;"",""))</f>
        <v/>
      </c>
      <c r="E219" s="13" t="str">
        <f aca="false">IF($A219="","",IFERROR(IF(INDEX(Maestro!$I:$I,MATCH($A219,Maestro!$A:$A,0))="Peso","Por libra",TRIM(INDEX(Maestro!$E:$E,MATCH($A219,Maestro!$A:$A,0))&amp;" "&amp;INDEX(Maestro!$F:$F,MATCH($A219,Maestro!$A:$A,0))&amp;" "&amp;INDEX(Maestro!$G:$G,MATCH($A219,Maestro!$A:$A,0)))),""))</f>
        <v/>
      </c>
      <c r="F219" s="13" t="str">
        <f aca="false">IF($A219="","",IFERROR(INDEX(Maestro!$H:$H,MATCH($A219,Maestro!$A:$A,0))&amp;"",""))</f>
        <v/>
      </c>
      <c r="G219" s="13" t="str">
        <f aca="false">IF($A219="","",IFERROR(INDEX(Maestro!$I:$I,MATCH($A219,Maestro!$A:$A,0))&amp;"",""))</f>
        <v/>
      </c>
      <c r="H219" s="14"/>
      <c r="I219" s="11"/>
    </row>
    <row r="220" customFormat="false" ht="15" hidden="false" customHeight="false" outlineLevel="0" collapsed="false">
      <c r="A220" s="11"/>
      <c r="B220" s="12"/>
      <c r="C220" s="13" t="str">
        <f aca="false">IF($A220="","",IFERROR(INDEX(Maestro!$C:$C,MATCH($A220,Maestro!$A:$A,0)),"Código no existe"))</f>
        <v/>
      </c>
      <c r="D220" s="13" t="str">
        <f aca="false">IF($A220="","",IFERROR(INDEX(Maestro!$D:$D,MATCH($A220,Maestro!$A:$A,0))&amp;"",""))</f>
        <v/>
      </c>
      <c r="E220" s="13" t="str">
        <f aca="false">IF($A220="","",IFERROR(IF(INDEX(Maestro!$I:$I,MATCH($A220,Maestro!$A:$A,0))="Peso","Por libra",TRIM(INDEX(Maestro!$E:$E,MATCH($A220,Maestro!$A:$A,0))&amp;" "&amp;INDEX(Maestro!$F:$F,MATCH($A220,Maestro!$A:$A,0))&amp;" "&amp;INDEX(Maestro!$G:$G,MATCH($A220,Maestro!$A:$A,0)))),""))</f>
        <v/>
      </c>
      <c r="F220" s="13" t="str">
        <f aca="false">IF($A220="","",IFERROR(INDEX(Maestro!$H:$H,MATCH($A220,Maestro!$A:$A,0))&amp;"",""))</f>
        <v/>
      </c>
      <c r="G220" s="13" t="str">
        <f aca="false">IF($A220="","",IFERROR(INDEX(Maestro!$I:$I,MATCH($A220,Maestro!$A:$A,0))&amp;"",""))</f>
        <v/>
      </c>
      <c r="H220" s="14"/>
      <c r="I220" s="11"/>
    </row>
    <row r="221" customFormat="false" ht="15" hidden="false" customHeight="false" outlineLevel="0" collapsed="false">
      <c r="A221" s="11"/>
      <c r="B221" s="12"/>
      <c r="C221" s="13" t="str">
        <f aca="false">IF($A221="","",IFERROR(INDEX(Maestro!$C:$C,MATCH($A221,Maestro!$A:$A,0)),"Código no existe"))</f>
        <v/>
      </c>
      <c r="D221" s="13" t="str">
        <f aca="false">IF($A221="","",IFERROR(INDEX(Maestro!$D:$D,MATCH($A221,Maestro!$A:$A,0))&amp;"",""))</f>
        <v/>
      </c>
      <c r="E221" s="13" t="str">
        <f aca="false">IF($A221="","",IFERROR(IF(INDEX(Maestro!$I:$I,MATCH($A221,Maestro!$A:$A,0))="Peso","Por libra",TRIM(INDEX(Maestro!$E:$E,MATCH($A221,Maestro!$A:$A,0))&amp;" "&amp;INDEX(Maestro!$F:$F,MATCH($A221,Maestro!$A:$A,0))&amp;" "&amp;INDEX(Maestro!$G:$G,MATCH($A221,Maestro!$A:$A,0)))),""))</f>
        <v/>
      </c>
      <c r="F221" s="13" t="str">
        <f aca="false">IF($A221="","",IFERROR(INDEX(Maestro!$H:$H,MATCH($A221,Maestro!$A:$A,0))&amp;"",""))</f>
        <v/>
      </c>
      <c r="G221" s="13" t="str">
        <f aca="false">IF($A221="","",IFERROR(INDEX(Maestro!$I:$I,MATCH($A221,Maestro!$A:$A,0))&amp;"",""))</f>
        <v/>
      </c>
      <c r="H221" s="14"/>
      <c r="I221" s="11"/>
    </row>
    <row r="222" customFormat="false" ht="15" hidden="false" customHeight="false" outlineLevel="0" collapsed="false">
      <c r="A222" s="11"/>
      <c r="B222" s="12"/>
      <c r="C222" s="13" t="str">
        <f aca="false">IF($A222="","",IFERROR(INDEX(Maestro!$C:$C,MATCH($A222,Maestro!$A:$A,0)),"Código no existe"))</f>
        <v/>
      </c>
      <c r="D222" s="13" t="str">
        <f aca="false">IF($A222="","",IFERROR(INDEX(Maestro!$D:$D,MATCH($A222,Maestro!$A:$A,0))&amp;"",""))</f>
        <v/>
      </c>
      <c r="E222" s="13" t="str">
        <f aca="false">IF($A222="","",IFERROR(IF(INDEX(Maestro!$I:$I,MATCH($A222,Maestro!$A:$A,0))="Peso","Por libra",TRIM(INDEX(Maestro!$E:$E,MATCH($A222,Maestro!$A:$A,0))&amp;" "&amp;INDEX(Maestro!$F:$F,MATCH($A222,Maestro!$A:$A,0))&amp;" "&amp;INDEX(Maestro!$G:$G,MATCH($A222,Maestro!$A:$A,0)))),""))</f>
        <v/>
      </c>
      <c r="F222" s="13" t="str">
        <f aca="false">IF($A222="","",IFERROR(INDEX(Maestro!$H:$H,MATCH($A222,Maestro!$A:$A,0))&amp;"",""))</f>
        <v/>
      </c>
      <c r="G222" s="13" t="str">
        <f aca="false">IF($A222="","",IFERROR(INDEX(Maestro!$I:$I,MATCH($A222,Maestro!$A:$A,0))&amp;"",""))</f>
        <v/>
      </c>
      <c r="H222" s="14"/>
      <c r="I222" s="11"/>
    </row>
    <row r="223" customFormat="false" ht="15" hidden="false" customHeight="false" outlineLevel="0" collapsed="false">
      <c r="A223" s="11"/>
      <c r="B223" s="12"/>
      <c r="C223" s="13" t="str">
        <f aca="false">IF($A223="","",IFERROR(INDEX(Maestro!$C:$C,MATCH($A223,Maestro!$A:$A,0)),"Código no existe"))</f>
        <v/>
      </c>
      <c r="D223" s="13" t="str">
        <f aca="false">IF($A223="","",IFERROR(INDEX(Maestro!$D:$D,MATCH($A223,Maestro!$A:$A,0))&amp;"",""))</f>
        <v/>
      </c>
      <c r="E223" s="13" t="str">
        <f aca="false">IF($A223="","",IFERROR(IF(INDEX(Maestro!$I:$I,MATCH($A223,Maestro!$A:$A,0))="Peso","Por libra",TRIM(INDEX(Maestro!$E:$E,MATCH($A223,Maestro!$A:$A,0))&amp;" "&amp;INDEX(Maestro!$F:$F,MATCH($A223,Maestro!$A:$A,0))&amp;" "&amp;INDEX(Maestro!$G:$G,MATCH($A223,Maestro!$A:$A,0)))),""))</f>
        <v/>
      </c>
      <c r="F223" s="13" t="str">
        <f aca="false">IF($A223="","",IFERROR(INDEX(Maestro!$H:$H,MATCH($A223,Maestro!$A:$A,0))&amp;"",""))</f>
        <v/>
      </c>
      <c r="G223" s="13" t="str">
        <f aca="false">IF($A223="","",IFERROR(INDEX(Maestro!$I:$I,MATCH($A223,Maestro!$A:$A,0))&amp;"",""))</f>
        <v/>
      </c>
      <c r="H223" s="14"/>
      <c r="I223" s="11"/>
    </row>
    <row r="224" customFormat="false" ht="15" hidden="false" customHeight="false" outlineLevel="0" collapsed="false">
      <c r="A224" s="11"/>
      <c r="B224" s="12"/>
      <c r="C224" s="13" t="str">
        <f aca="false">IF($A224="","",IFERROR(INDEX(Maestro!$C:$C,MATCH($A224,Maestro!$A:$A,0)),"Código no existe"))</f>
        <v/>
      </c>
      <c r="D224" s="13" t="str">
        <f aca="false">IF($A224="","",IFERROR(INDEX(Maestro!$D:$D,MATCH($A224,Maestro!$A:$A,0))&amp;"",""))</f>
        <v/>
      </c>
      <c r="E224" s="13" t="str">
        <f aca="false">IF($A224="","",IFERROR(IF(INDEX(Maestro!$I:$I,MATCH($A224,Maestro!$A:$A,0))="Peso","Por libra",TRIM(INDEX(Maestro!$E:$E,MATCH($A224,Maestro!$A:$A,0))&amp;" "&amp;INDEX(Maestro!$F:$F,MATCH($A224,Maestro!$A:$A,0))&amp;" "&amp;INDEX(Maestro!$G:$G,MATCH($A224,Maestro!$A:$A,0)))),""))</f>
        <v/>
      </c>
      <c r="F224" s="13" t="str">
        <f aca="false">IF($A224="","",IFERROR(INDEX(Maestro!$H:$H,MATCH($A224,Maestro!$A:$A,0))&amp;"",""))</f>
        <v/>
      </c>
      <c r="G224" s="13" t="str">
        <f aca="false">IF($A224="","",IFERROR(INDEX(Maestro!$I:$I,MATCH($A224,Maestro!$A:$A,0))&amp;"",""))</f>
        <v/>
      </c>
      <c r="H224" s="14"/>
      <c r="I224" s="11"/>
    </row>
    <row r="225" customFormat="false" ht="15" hidden="false" customHeight="false" outlineLevel="0" collapsed="false">
      <c r="A225" s="11"/>
      <c r="B225" s="12"/>
      <c r="C225" s="13" t="str">
        <f aca="false">IF($A225="","",IFERROR(INDEX(Maestro!$C:$C,MATCH($A225,Maestro!$A:$A,0)),"Código no existe"))</f>
        <v/>
      </c>
      <c r="D225" s="13" t="str">
        <f aca="false">IF($A225="","",IFERROR(INDEX(Maestro!$D:$D,MATCH($A225,Maestro!$A:$A,0))&amp;"",""))</f>
        <v/>
      </c>
      <c r="E225" s="13" t="str">
        <f aca="false">IF($A225="","",IFERROR(IF(INDEX(Maestro!$I:$I,MATCH($A225,Maestro!$A:$A,0))="Peso","Por libra",TRIM(INDEX(Maestro!$E:$E,MATCH($A225,Maestro!$A:$A,0))&amp;" "&amp;INDEX(Maestro!$F:$F,MATCH($A225,Maestro!$A:$A,0))&amp;" "&amp;INDEX(Maestro!$G:$G,MATCH($A225,Maestro!$A:$A,0)))),""))</f>
        <v/>
      </c>
      <c r="F225" s="13" t="str">
        <f aca="false">IF($A225="","",IFERROR(INDEX(Maestro!$H:$H,MATCH($A225,Maestro!$A:$A,0))&amp;"",""))</f>
        <v/>
      </c>
      <c r="G225" s="13" t="str">
        <f aca="false">IF($A225="","",IFERROR(INDEX(Maestro!$I:$I,MATCH($A225,Maestro!$A:$A,0))&amp;"",""))</f>
        <v/>
      </c>
      <c r="H225" s="14"/>
      <c r="I225" s="11"/>
    </row>
    <row r="226" customFormat="false" ht="15" hidden="false" customHeight="false" outlineLevel="0" collapsed="false">
      <c r="A226" s="11"/>
      <c r="B226" s="12"/>
      <c r="C226" s="13" t="str">
        <f aca="false">IF($A226="","",IFERROR(INDEX(Maestro!$C:$C,MATCH($A226,Maestro!$A:$A,0)),"Código no existe"))</f>
        <v/>
      </c>
      <c r="D226" s="13" t="str">
        <f aca="false">IF($A226="","",IFERROR(INDEX(Maestro!$D:$D,MATCH($A226,Maestro!$A:$A,0))&amp;"",""))</f>
        <v/>
      </c>
      <c r="E226" s="13" t="str">
        <f aca="false">IF($A226="","",IFERROR(IF(INDEX(Maestro!$I:$I,MATCH($A226,Maestro!$A:$A,0))="Peso","Por libra",TRIM(INDEX(Maestro!$E:$E,MATCH($A226,Maestro!$A:$A,0))&amp;" "&amp;INDEX(Maestro!$F:$F,MATCH($A226,Maestro!$A:$A,0))&amp;" "&amp;INDEX(Maestro!$G:$G,MATCH($A226,Maestro!$A:$A,0)))),""))</f>
        <v/>
      </c>
      <c r="F226" s="13" t="str">
        <f aca="false">IF($A226="","",IFERROR(INDEX(Maestro!$H:$H,MATCH($A226,Maestro!$A:$A,0))&amp;"",""))</f>
        <v/>
      </c>
      <c r="G226" s="13" t="str">
        <f aca="false">IF($A226="","",IFERROR(INDEX(Maestro!$I:$I,MATCH($A226,Maestro!$A:$A,0))&amp;"",""))</f>
        <v/>
      </c>
      <c r="H226" s="14"/>
      <c r="I226" s="11"/>
    </row>
    <row r="227" customFormat="false" ht="15" hidden="false" customHeight="false" outlineLevel="0" collapsed="false">
      <c r="A227" s="11"/>
      <c r="B227" s="12"/>
      <c r="C227" s="13" t="str">
        <f aca="false">IF($A227="","",IFERROR(INDEX(Maestro!$C:$C,MATCH($A227,Maestro!$A:$A,0)),"Código no existe"))</f>
        <v/>
      </c>
      <c r="D227" s="13" t="str">
        <f aca="false">IF($A227="","",IFERROR(INDEX(Maestro!$D:$D,MATCH($A227,Maestro!$A:$A,0))&amp;"",""))</f>
        <v/>
      </c>
      <c r="E227" s="13" t="str">
        <f aca="false">IF($A227="","",IFERROR(IF(INDEX(Maestro!$I:$I,MATCH($A227,Maestro!$A:$A,0))="Peso","Por libra",TRIM(INDEX(Maestro!$E:$E,MATCH($A227,Maestro!$A:$A,0))&amp;" "&amp;INDEX(Maestro!$F:$F,MATCH($A227,Maestro!$A:$A,0))&amp;" "&amp;INDEX(Maestro!$G:$G,MATCH($A227,Maestro!$A:$A,0)))),""))</f>
        <v/>
      </c>
      <c r="F227" s="13" t="str">
        <f aca="false">IF($A227="","",IFERROR(INDEX(Maestro!$H:$H,MATCH($A227,Maestro!$A:$A,0))&amp;"",""))</f>
        <v/>
      </c>
      <c r="G227" s="13" t="str">
        <f aca="false">IF($A227="","",IFERROR(INDEX(Maestro!$I:$I,MATCH($A227,Maestro!$A:$A,0))&amp;"",""))</f>
        <v/>
      </c>
      <c r="H227" s="14"/>
      <c r="I227" s="11"/>
    </row>
    <row r="228" customFormat="false" ht="15" hidden="false" customHeight="false" outlineLevel="0" collapsed="false">
      <c r="A228" s="11"/>
      <c r="B228" s="12"/>
      <c r="C228" s="13" t="str">
        <f aca="false">IF($A228="","",IFERROR(INDEX(Maestro!$C:$C,MATCH($A228,Maestro!$A:$A,0)),"Código no existe"))</f>
        <v/>
      </c>
      <c r="D228" s="13" t="str">
        <f aca="false">IF($A228="","",IFERROR(INDEX(Maestro!$D:$D,MATCH($A228,Maestro!$A:$A,0))&amp;"",""))</f>
        <v/>
      </c>
      <c r="E228" s="13" t="str">
        <f aca="false">IF($A228="","",IFERROR(IF(INDEX(Maestro!$I:$I,MATCH($A228,Maestro!$A:$A,0))="Peso","Por libra",TRIM(INDEX(Maestro!$E:$E,MATCH($A228,Maestro!$A:$A,0))&amp;" "&amp;INDEX(Maestro!$F:$F,MATCH($A228,Maestro!$A:$A,0))&amp;" "&amp;INDEX(Maestro!$G:$G,MATCH($A228,Maestro!$A:$A,0)))),""))</f>
        <v/>
      </c>
      <c r="F228" s="13" t="str">
        <f aca="false">IF($A228="","",IFERROR(INDEX(Maestro!$H:$H,MATCH($A228,Maestro!$A:$A,0))&amp;"",""))</f>
        <v/>
      </c>
      <c r="G228" s="13" t="str">
        <f aca="false">IF($A228="","",IFERROR(INDEX(Maestro!$I:$I,MATCH($A228,Maestro!$A:$A,0))&amp;"",""))</f>
        <v/>
      </c>
      <c r="H228" s="14"/>
      <c r="I228" s="11"/>
    </row>
    <row r="229" customFormat="false" ht="15" hidden="false" customHeight="false" outlineLevel="0" collapsed="false">
      <c r="A229" s="11"/>
      <c r="B229" s="12"/>
      <c r="C229" s="13" t="str">
        <f aca="false">IF($A229="","",IFERROR(INDEX(Maestro!$C:$C,MATCH($A229,Maestro!$A:$A,0)),"Código no existe"))</f>
        <v/>
      </c>
      <c r="D229" s="13" t="str">
        <f aca="false">IF($A229="","",IFERROR(INDEX(Maestro!$D:$D,MATCH($A229,Maestro!$A:$A,0))&amp;"",""))</f>
        <v/>
      </c>
      <c r="E229" s="13" t="str">
        <f aca="false">IF($A229="","",IFERROR(IF(INDEX(Maestro!$I:$I,MATCH($A229,Maestro!$A:$A,0))="Peso","Por libra",TRIM(INDEX(Maestro!$E:$E,MATCH($A229,Maestro!$A:$A,0))&amp;" "&amp;INDEX(Maestro!$F:$F,MATCH($A229,Maestro!$A:$A,0))&amp;" "&amp;INDEX(Maestro!$G:$G,MATCH($A229,Maestro!$A:$A,0)))),""))</f>
        <v/>
      </c>
      <c r="F229" s="13" t="str">
        <f aca="false">IF($A229="","",IFERROR(INDEX(Maestro!$H:$H,MATCH($A229,Maestro!$A:$A,0))&amp;"",""))</f>
        <v/>
      </c>
      <c r="G229" s="13" t="str">
        <f aca="false">IF($A229="","",IFERROR(INDEX(Maestro!$I:$I,MATCH($A229,Maestro!$A:$A,0))&amp;"",""))</f>
        <v/>
      </c>
      <c r="H229" s="14"/>
      <c r="I229" s="11"/>
    </row>
    <row r="230" customFormat="false" ht="15" hidden="false" customHeight="false" outlineLevel="0" collapsed="false">
      <c r="A230" s="11"/>
      <c r="B230" s="12"/>
      <c r="C230" s="13" t="str">
        <f aca="false">IF($A230="","",IFERROR(INDEX(Maestro!$C:$C,MATCH($A230,Maestro!$A:$A,0)),"Código no existe"))</f>
        <v/>
      </c>
      <c r="D230" s="13" t="str">
        <f aca="false">IF($A230="","",IFERROR(INDEX(Maestro!$D:$D,MATCH($A230,Maestro!$A:$A,0))&amp;"",""))</f>
        <v/>
      </c>
      <c r="E230" s="13" t="str">
        <f aca="false">IF($A230="","",IFERROR(IF(INDEX(Maestro!$I:$I,MATCH($A230,Maestro!$A:$A,0))="Peso","Por libra",TRIM(INDEX(Maestro!$E:$E,MATCH($A230,Maestro!$A:$A,0))&amp;" "&amp;INDEX(Maestro!$F:$F,MATCH($A230,Maestro!$A:$A,0))&amp;" "&amp;INDEX(Maestro!$G:$G,MATCH($A230,Maestro!$A:$A,0)))),""))</f>
        <v/>
      </c>
      <c r="F230" s="13" t="str">
        <f aca="false">IF($A230="","",IFERROR(INDEX(Maestro!$H:$H,MATCH($A230,Maestro!$A:$A,0))&amp;"",""))</f>
        <v/>
      </c>
      <c r="G230" s="13" t="str">
        <f aca="false">IF($A230="","",IFERROR(INDEX(Maestro!$I:$I,MATCH($A230,Maestro!$A:$A,0))&amp;"",""))</f>
        <v/>
      </c>
      <c r="H230" s="14"/>
      <c r="I230" s="11"/>
    </row>
    <row r="231" customFormat="false" ht="15" hidden="false" customHeight="false" outlineLevel="0" collapsed="false">
      <c r="A231" s="11"/>
      <c r="B231" s="12"/>
      <c r="C231" s="13" t="str">
        <f aca="false">IF($A231="","",IFERROR(INDEX(Maestro!$C:$C,MATCH($A231,Maestro!$A:$A,0)),"Código no existe"))</f>
        <v/>
      </c>
      <c r="D231" s="13" t="str">
        <f aca="false">IF($A231="","",IFERROR(INDEX(Maestro!$D:$D,MATCH($A231,Maestro!$A:$A,0))&amp;"",""))</f>
        <v/>
      </c>
      <c r="E231" s="13" t="str">
        <f aca="false">IF($A231="","",IFERROR(IF(INDEX(Maestro!$I:$I,MATCH($A231,Maestro!$A:$A,0))="Peso","Por libra",TRIM(INDEX(Maestro!$E:$E,MATCH($A231,Maestro!$A:$A,0))&amp;" "&amp;INDEX(Maestro!$F:$F,MATCH($A231,Maestro!$A:$A,0))&amp;" "&amp;INDEX(Maestro!$G:$G,MATCH($A231,Maestro!$A:$A,0)))),""))</f>
        <v/>
      </c>
      <c r="F231" s="13" t="str">
        <f aca="false">IF($A231="","",IFERROR(INDEX(Maestro!$H:$H,MATCH($A231,Maestro!$A:$A,0))&amp;"",""))</f>
        <v/>
      </c>
      <c r="G231" s="13" t="str">
        <f aca="false">IF($A231="","",IFERROR(INDEX(Maestro!$I:$I,MATCH($A231,Maestro!$A:$A,0))&amp;"",""))</f>
        <v/>
      </c>
      <c r="H231" s="14"/>
      <c r="I231" s="11"/>
    </row>
    <row r="232" customFormat="false" ht="15" hidden="false" customHeight="false" outlineLevel="0" collapsed="false">
      <c r="A232" s="11"/>
      <c r="B232" s="12"/>
      <c r="C232" s="13" t="str">
        <f aca="false">IF($A232="","",IFERROR(INDEX(Maestro!$C:$C,MATCH($A232,Maestro!$A:$A,0)),"Código no existe"))</f>
        <v/>
      </c>
      <c r="D232" s="13" t="str">
        <f aca="false">IF($A232="","",IFERROR(INDEX(Maestro!$D:$D,MATCH($A232,Maestro!$A:$A,0))&amp;"",""))</f>
        <v/>
      </c>
      <c r="E232" s="13" t="str">
        <f aca="false">IF($A232="","",IFERROR(IF(INDEX(Maestro!$I:$I,MATCH($A232,Maestro!$A:$A,0))="Peso","Por libra",TRIM(INDEX(Maestro!$E:$E,MATCH($A232,Maestro!$A:$A,0))&amp;" "&amp;INDEX(Maestro!$F:$F,MATCH($A232,Maestro!$A:$A,0))&amp;" "&amp;INDEX(Maestro!$G:$G,MATCH($A232,Maestro!$A:$A,0)))),""))</f>
        <v/>
      </c>
      <c r="F232" s="13" t="str">
        <f aca="false">IF($A232="","",IFERROR(INDEX(Maestro!$H:$H,MATCH($A232,Maestro!$A:$A,0))&amp;"",""))</f>
        <v/>
      </c>
      <c r="G232" s="13" t="str">
        <f aca="false">IF($A232="","",IFERROR(INDEX(Maestro!$I:$I,MATCH($A232,Maestro!$A:$A,0))&amp;"",""))</f>
        <v/>
      </c>
      <c r="H232" s="14"/>
      <c r="I232" s="11"/>
    </row>
    <row r="233" customFormat="false" ht="15" hidden="false" customHeight="false" outlineLevel="0" collapsed="false">
      <c r="A233" s="11"/>
      <c r="B233" s="12"/>
      <c r="C233" s="13" t="str">
        <f aca="false">IF($A233="","",IFERROR(INDEX(Maestro!$C:$C,MATCH($A233,Maestro!$A:$A,0)),"Código no existe"))</f>
        <v/>
      </c>
      <c r="D233" s="13" t="str">
        <f aca="false">IF($A233="","",IFERROR(INDEX(Maestro!$D:$D,MATCH($A233,Maestro!$A:$A,0))&amp;"",""))</f>
        <v/>
      </c>
      <c r="E233" s="13" t="str">
        <f aca="false">IF($A233="","",IFERROR(IF(INDEX(Maestro!$I:$I,MATCH($A233,Maestro!$A:$A,0))="Peso","Por libra",TRIM(INDEX(Maestro!$E:$E,MATCH($A233,Maestro!$A:$A,0))&amp;" "&amp;INDEX(Maestro!$F:$F,MATCH($A233,Maestro!$A:$A,0))&amp;" "&amp;INDEX(Maestro!$G:$G,MATCH($A233,Maestro!$A:$A,0)))),""))</f>
        <v/>
      </c>
      <c r="F233" s="13" t="str">
        <f aca="false">IF($A233="","",IFERROR(INDEX(Maestro!$H:$H,MATCH($A233,Maestro!$A:$A,0))&amp;"",""))</f>
        <v/>
      </c>
      <c r="G233" s="13" t="str">
        <f aca="false">IF($A233="","",IFERROR(INDEX(Maestro!$I:$I,MATCH($A233,Maestro!$A:$A,0))&amp;"",""))</f>
        <v/>
      </c>
      <c r="H233" s="14"/>
      <c r="I233" s="11"/>
    </row>
    <row r="234" customFormat="false" ht="15" hidden="false" customHeight="false" outlineLevel="0" collapsed="false">
      <c r="A234" s="11"/>
      <c r="B234" s="12"/>
      <c r="C234" s="13" t="str">
        <f aca="false">IF($A234="","",IFERROR(INDEX(Maestro!$C:$C,MATCH($A234,Maestro!$A:$A,0)),"Código no existe"))</f>
        <v/>
      </c>
      <c r="D234" s="13" t="str">
        <f aca="false">IF($A234="","",IFERROR(INDEX(Maestro!$D:$D,MATCH($A234,Maestro!$A:$A,0))&amp;"",""))</f>
        <v/>
      </c>
      <c r="E234" s="13" t="str">
        <f aca="false">IF($A234="","",IFERROR(IF(INDEX(Maestro!$I:$I,MATCH($A234,Maestro!$A:$A,0))="Peso","Por libra",TRIM(INDEX(Maestro!$E:$E,MATCH($A234,Maestro!$A:$A,0))&amp;" "&amp;INDEX(Maestro!$F:$F,MATCH($A234,Maestro!$A:$A,0))&amp;" "&amp;INDEX(Maestro!$G:$G,MATCH($A234,Maestro!$A:$A,0)))),""))</f>
        <v/>
      </c>
      <c r="F234" s="13" t="str">
        <f aca="false">IF($A234="","",IFERROR(INDEX(Maestro!$H:$H,MATCH($A234,Maestro!$A:$A,0))&amp;"",""))</f>
        <v/>
      </c>
      <c r="G234" s="13" t="str">
        <f aca="false">IF($A234="","",IFERROR(INDEX(Maestro!$I:$I,MATCH($A234,Maestro!$A:$A,0))&amp;"",""))</f>
        <v/>
      </c>
      <c r="H234" s="14"/>
      <c r="I234" s="11"/>
    </row>
    <row r="235" customFormat="false" ht="15" hidden="false" customHeight="false" outlineLevel="0" collapsed="false">
      <c r="A235" s="11"/>
      <c r="B235" s="12"/>
      <c r="C235" s="13" t="str">
        <f aca="false">IF($A235="","",IFERROR(INDEX(Maestro!$C:$C,MATCH($A235,Maestro!$A:$A,0)),"Código no existe"))</f>
        <v/>
      </c>
      <c r="D235" s="13" t="str">
        <f aca="false">IF($A235="","",IFERROR(INDEX(Maestro!$D:$D,MATCH($A235,Maestro!$A:$A,0))&amp;"",""))</f>
        <v/>
      </c>
      <c r="E235" s="13" t="str">
        <f aca="false">IF($A235="","",IFERROR(IF(INDEX(Maestro!$I:$I,MATCH($A235,Maestro!$A:$A,0))="Peso","Por libra",TRIM(INDEX(Maestro!$E:$E,MATCH($A235,Maestro!$A:$A,0))&amp;" "&amp;INDEX(Maestro!$F:$F,MATCH($A235,Maestro!$A:$A,0))&amp;" "&amp;INDEX(Maestro!$G:$G,MATCH($A235,Maestro!$A:$A,0)))),""))</f>
        <v/>
      </c>
      <c r="F235" s="13" t="str">
        <f aca="false">IF($A235="","",IFERROR(INDEX(Maestro!$H:$H,MATCH($A235,Maestro!$A:$A,0))&amp;"",""))</f>
        <v/>
      </c>
      <c r="G235" s="13" t="str">
        <f aca="false">IF($A235="","",IFERROR(INDEX(Maestro!$I:$I,MATCH($A235,Maestro!$A:$A,0))&amp;"",""))</f>
        <v/>
      </c>
      <c r="H235" s="14"/>
      <c r="I235" s="11"/>
    </row>
    <row r="236" customFormat="false" ht="15" hidden="false" customHeight="false" outlineLevel="0" collapsed="false">
      <c r="A236" s="11"/>
      <c r="B236" s="12"/>
      <c r="C236" s="13" t="str">
        <f aca="false">IF($A236="","",IFERROR(INDEX(Maestro!$C:$C,MATCH($A236,Maestro!$A:$A,0)),"Código no existe"))</f>
        <v/>
      </c>
      <c r="D236" s="13" t="str">
        <f aca="false">IF($A236="","",IFERROR(INDEX(Maestro!$D:$D,MATCH($A236,Maestro!$A:$A,0))&amp;"",""))</f>
        <v/>
      </c>
      <c r="E236" s="13" t="str">
        <f aca="false">IF($A236="","",IFERROR(IF(INDEX(Maestro!$I:$I,MATCH($A236,Maestro!$A:$A,0))="Peso","Por libra",TRIM(INDEX(Maestro!$E:$E,MATCH($A236,Maestro!$A:$A,0))&amp;" "&amp;INDEX(Maestro!$F:$F,MATCH($A236,Maestro!$A:$A,0))&amp;" "&amp;INDEX(Maestro!$G:$G,MATCH($A236,Maestro!$A:$A,0)))),""))</f>
        <v/>
      </c>
      <c r="F236" s="13" t="str">
        <f aca="false">IF($A236="","",IFERROR(INDEX(Maestro!$H:$H,MATCH($A236,Maestro!$A:$A,0))&amp;"",""))</f>
        <v/>
      </c>
      <c r="G236" s="13" t="str">
        <f aca="false">IF($A236="","",IFERROR(INDEX(Maestro!$I:$I,MATCH($A236,Maestro!$A:$A,0))&amp;"",""))</f>
        <v/>
      </c>
      <c r="H236" s="14"/>
      <c r="I236" s="11"/>
    </row>
    <row r="237" customFormat="false" ht="15" hidden="false" customHeight="false" outlineLevel="0" collapsed="false">
      <c r="A237" s="11"/>
      <c r="B237" s="12"/>
      <c r="C237" s="13" t="str">
        <f aca="false">IF($A237="","",IFERROR(INDEX(Maestro!$C:$C,MATCH($A237,Maestro!$A:$A,0)),"Código no existe"))</f>
        <v/>
      </c>
      <c r="D237" s="13" t="str">
        <f aca="false">IF($A237="","",IFERROR(INDEX(Maestro!$D:$D,MATCH($A237,Maestro!$A:$A,0))&amp;"",""))</f>
        <v/>
      </c>
      <c r="E237" s="13" t="str">
        <f aca="false">IF($A237="","",IFERROR(IF(INDEX(Maestro!$I:$I,MATCH($A237,Maestro!$A:$A,0))="Peso","Por libra",TRIM(INDEX(Maestro!$E:$E,MATCH($A237,Maestro!$A:$A,0))&amp;" "&amp;INDEX(Maestro!$F:$F,MATCH($A237,Maestro!$A:$A,0))&amp;" "&amp;INDEX(Maestro!$G:$G,MATCH($A237,Maestro!$A:$A,0)))),""))</f>
        <v/>
      </c>
      <c r="F237" s="13" t="str">
        <f aca="false">IF($A237="","",IFERROR(INDEX(Maestro!$H:$H,MATCH($A237,Maestro!$A:$A,0))&amp;"",""))</f>
        <v/>
      </c>
      <c r="G237" s="13" t="str">
        <f aca="false">IF($A237="","",IFERROR(INDEX(Maestro!$I:$I,MATCH($A237,Maestro!$A:$A,0))&amp;"",""))</f>
        <v/>
      </c>
      <c r="H237" s="14"/>
      <c r="I237" s="11"/>
    </row>
    <row r="238" customFormat="false" ht="15" hidden="false" customHeight="false" outlineLevel="0" collapsed="false">
      <c r="A238" s="11"/>
      <c r="B238" s="12"/>
      <c r="C238" s="13" t="str">
        <f aca="false">IF($A238="","",IFERROR(INDEX(Maestro!$C:$C,MATCH($A238,Maestro!$A:$A,0)),"Código no existe"))</f>
        <v/>
      </c>
      <c r="D238" s="13" t="str">
        <f aca="false">IF($A238="","",IFERROR(INDEX(Maestro!$D:$D,MATCH($A238,Maestro!$A:$A,0))&amp;"",""))</f>
        <v/>
      </c>
      <c r="E238" s="13" t="str">
        <f aca="false">IF($A238="","",IFERROR(IF(INDEX(Maestro!$I:$I,MATCH($A238,Maestro!$A:$A,0))="Peso","Por libra",TRIM(INDEX(Maestro!$E:$E,MATCH($A238,Maestro!$A:$A,0))&amp;" "&amp;INDEX(Maestro!$F:$F,MATCH($A238,Maestro!$A:$A,0))&amp;" "&amp;INDEX(Maestro!$G:$G,MATCH($A238,Maestro!$A:$A,0)))),""))</f>
        <v/>
      </c>
      <c r="F238" s="13" t="str">
        <f aca="false">IF($A238="","",IFERROR(INDEX(Maestro!$H:$H,MATCH($A238,Maestro!$A:$A,0))&amp;"",""))</f>
        <v/>
      </c>
      <c r="G238" s="13" t="str">
        <f aca="false">IF($A238="","",IFERROR(INDEX(Maestro!$I:$I,MATCH($A238,Maestro!$A:$A,0))&amp;"",""))</f>
        <v/>
      </c>
      <c r="H238" s="14"/>
      <c r="I238" s="11"/>
    </row>
    <row r="239" customFormat="false" ht="15" hidden="false" customHeight="false" outlineLevel="0" collapsed="false">
      <c r="A239" s="11"/>
      <c r="B239" s="12"/>
      <c r="C239" s="13" t="str">
        <f aca="false">IF($A239="","",IFERROR(INDEX(Maestro!$C:$C,MATCH($A239,Maestro!$A:$A,0)),"Código no existe"))</f>
        <v/>
      </c>
      <c r="D239" s="13" t="str">
        <f aca="false">IF($A239="","",IFERROR(INDEX(Maestro!$D:$D,MATCH($A239,Maestro!$A:$A,0))&amp;"",""))</f>
        <v/>
      </c>
      <c r="E239" s="13" t="str">
        <f aca="false">IF($A239="","",IFERROR(IF(INDEX(Maestro!$I:$I,MATCH($A239,Maestro!$A:$A,0))="Peso","Por libra",TRIM(INDEX(Maestro!$E:$E,MATCH($A239,Maestro!$A:$A,0))&amp;" "&amp;INDEX(Maestro!$F:$F,MATCH($A239,Maestro!$A:$A,0))&amp;" "&amp;INDEX(Maestro!$G:$G,MATCH($A239,Maestro!$A:$A,0)))),""))</f>
        <v/>
      </c>
      <c r="F239" s="13" t="str">
        <f aca="false">IF($A239="","",IFERROR(INDEX(Maestro!$H:$H,MATCH($A239,Maestro!$A:$A,0))&amp;"",""))</f>
        <v/>
      </c>
      <c r="G239" s="13" t="str">
        <f aca="false">IF($A239="","",IFERROR(INDEX(Maestro!$I:$I,MATCH($A239,Maestro!$A:$A,0))&amp;"",""))</f>
        <v/>
      </c>
      <c r="H239" s="14"/>
      <c r="I239" s="11"/>
    </row>
    <row r="240" customFormat="false" ht="15" hidden="false" customHeight="false" outlineLevel="0" collapsed="false">
      <c r="A240" s="11"/>
      <c r="B240" s="12"/>
      <c r="C240" s="13" t="str">
        <f aca="false">IF($A240="","",IFERROR(INDEX(Maestro!$C:$C,MATCH($A240,Maestro!$A:$A,0)),"Código no existe"))</f>
        <v/>
      </c>
      <c r="D240" s="13" t="str">
        <f aca="false">IF($A240="","",IFERROR(INDEX(Maestro!$D:$D,MATCH($A240,Maestro!$A:$A,0))&amp;"",""))</f>
        <v/>
      </c>
      <c r="E240" s="13" t="str">
        <f aca="false">IF($A240="","",IFERROR(IF(INDEX(Maestro!$I:$I,MATCH($A240,Maestro!$A:$A,0))="Peso","Por libra",TRIM(INDEX(Maestro!$E:$E,MATCH($A240,Maestro!$A:$A,0))&amp;" "&amp;INDEX(Maestro!$F:$F,MATCH($A240,Maestro!$A:$A,0))&amp;" "&amp;INDEX(Maestro!$G:$G,MATCH($A240,Maestro!$A:$A,0)))),""))</f>
        <v/>
      </c>
      <c r="F240" s="13" t="str">
        <f aca="false">IF($A240="","",IFERROR(INDEX(Maestro!$H:$H,MATCH($A240,Maestro!$A:$A,0))&amp;"",""))</f>
        <v/>
      </c>
      <c r="G240" s="13" t="str">
        <f aca="false">IF($A240="","",IFERROR(INDEX(Maestro!$I:$I,MATCH($A240,Maestro!$A:$A,0))&amp;"",""))</f>
        <v/>
      </c>
      <c r="H240" s="14"/>
      <c r="I240" s="11"/>
    </row>
    <row r="241" customFormat="false" ht="15" hidden="false" customHeight="false" outlineLevel="0" collapsed="false">
      <c r="A241" s="11"/>
      <c r="B241" s="12"/>
      <c r="C241" s="13" t="str">
        <f aca="false">IF($A241="","",IFERROR(INDEX(Maestro!$C:$C,MATCH($A241,Maestro!$A:$A,0)),"Código no existe"))</f>
        <v/>
      </c>
      <c r="D241" s="13" t="str">
        <f aca="false">IF($A241="","",IFERROR(INDEX(Maestro!$D:$D,MATCH($A241,Maestro!$A:$A,0))&amp;"",""))</f>
        <v/>
      </c>
      <c r="E241" s="13" t="str">
        <f aca="false">IF($A241="","",IFERROR(IF(INDEX(Maestro!$I:$I,MATCH($A241,Maestro!$A:$A,0))="Peso","Por libra",TRIM(INDEX(Maestro!$E:$E,MATCH($A241,Maestro!$A:$A,0))&amp;" "&amp;INDEX(Maestro!$F:$F,MATCH($A241,Maestro!$A:$A,0))&amp;" "&amp;INDEX(Maestro!$G:$G,MATCH($A241,Maestro!$A:$A,0)))),""))</f>
        <v/>
      </c>
      <c r="F241" s="13" t="str">
        <f aca="false">IF($A241="","",IFERROR(INDEX(Maestro!$H:$H,MATCH($A241,Maestro!$A:$A,0))&amp;"",""))</f>
        <v/>
      </c>
      <c r="G241" s="13" t="str">
        <f aca="false">IF($A241="","",IFERROR(INDEX(Maestro!$I:$I,MATCH($A241,Maestro!$A:$A,0))&amp;"",""))</f>
        <v/>
      </c>
      <c r="H241" s="14"/>
      <c r="I241" s="11"/>
    </row>
    <row r="242" customFormat="false" ht="15" hidden="false" customHeight="false" outlineLevel="0" collapsed="false">
      <c r="A242" s="11"/>
      <c r="B242" s="12"/>
      <c r="C242" s="13" t="str">
        <f aca="false">IF($A242="","",IFERROR(INDEX(Maestro!$C:$C,MATCH($A242,Maestro!$A:$A,0)),"Código no existe"))</f>
        <v/>
      </c>
      <c r="D242" s="13" t="str">
        <f aca="false">IF($A242="","",IFERROR(INDEX(Maestro!$D:$D,MATCH($A242,Maestro!$A:$A,0))&amp;"",""))</f>
        <v/>
      </c>
      <c r="E242" s="13" t="str">
        <f aca="false">IF($A242="","",IFERROR(IF(INDEX(Maestro!$I:$I,MATCH($A242,Maestro!$A:$A,0))="Peso","Por libra",TRIM(INDEX(Maestro!$E:$E,MATCH($A242,Maestro!$A:$A,0))&amp;" "&amp;INDEX(Maestro!$F:$F,MATCH($A242,Maestro!$A:$A,0))&amp;" "&amp;INDEX(Maestro!$G:$G,MATCH($A242,Maestro!$A:$A,0)))),""))</f>
        <v/>
      </c>
      <c r="F242" s="13" t="str">
        <f aca="false">IF($A242="","",IFERROR(INDEX(Maestro!$H:$H,MATCH($A242,Maestro!$A:$A,0))&amp;"",""))</f>
        <v/>
      </c>
      <c r="G242" s="13" t="str">
        <f aca="false">IF($A242="","",IFERROR(INDEX(Maestro!$I:$I,MATCH($A242,Maestro!$A:$A,0))&amp;"",""))</f>
        <v/>
      </c>
      <c r="H242" s="14"/>
      <c r="I242" s="11"/>
    </row>
    <row r="243" customFormat="false" ht="15" hidden="false" customHeight="false" outlineLevel="0" collapsed="false">
      <c r="A243" s="11"/>
      <c r="B243" s="12"/>
      <c r="C243" s="13" t="str">
        <f aca="false">IF($A243="","",IFERROR(INDEX(Maestro!$C:$C,MATCH($A243,Maestro!$A:$A,0)),"Código no existe"))</f>
        <v/>
      </c>
      <c r="D243" s="13" t="str">
        <f aca="false">IF($A243="","",IFERROR(INDEX(Maestro!$D:$D,MATCH($A243,Maestro!$A:$A,0))&amp;"",""))</f>
        <v/>
      </c>
      <c r="E243" s="13" t="str">
        <f aca="false">IF($A243="","",IFERROR(IF(INDEX(Maestro!$I:$I,MATCH($A243,Maestro!$A:$A,0))="Peso","Por libra",TRIM(INDEX(Maestro!$E:$E,MATCH($A243,Maestro!$A:$A,0))&amp;" "&amp;INDEX(Maestro!$F:$F,MATCH($A243,Maestro!$A:$A,0))&amp;" "&amp;INDEX(Maestro!$G:$G,MATCH($A243,Maestro!$A:$A,0)))),""))</f>
        <v/>
      </c>
      <c r="F243" s="13" t="str">
        <f aca="false">IF($A243="","",IFERROR(INDEX(Maestro!$H:$H,MATCH($A243,Maestro!$A:$A,0))&amp;"",""))</f>
        <v/>
      </c>
      <c r="G243" s="13" t="str">
        <f aca="false">IF($A243="","",IFERROR(INDEX(Maestro!$I:$I,MATCH($A243,Maestro!$A:$A,0))&amp;"",""))</f>
        <v/>
      </c>
      <c r="H243" s="14"/>
      <c r="I243" s="11"/>
    </row>
    <row r="244" customFormat="false" ht="15" hidden="false" customHeight="false" outlineLevel="0" collapsed="false">
      <c r="A244" s="11"/>
      <c r="B244" s="12"/>
      <c r="C244" s="13" t="str">
        <f aca="false">IF($A244="","",IFERROR(INDEX(Maestro!$C:$C,MATCH($A244,Maestro!$A:$A,0)),"Código no existe"))</f>
        <v/>
      </c>
      <c r="D244" s="13" t="str">
        <f aca="false">IF($A244="","",IFERROR(INDEX(Maestro!$D:$D,MATCH($A244,Maestro!$A:$A,0))&amp;"",""))</f>
        <v/>
      </c>
      <c r="E244" s="13" t="str">
        <f aca="false">IF($A244="","",IFERROR(IF(INDEX(Maestro!$I:$I,MATCH($A244,Maestro!$A:$A,0))="Peso","Por libra",TRIM(INDEX(Maestro!$E:$E,MATCH($A244,Maestro!$A:$A,0))&amp;" "&amp;INDEX(Maestro!$F:$F,MATCH($A244,Maestro!$A:$A,0))&amp;" "&amp;INDEX(Maestro!$G:$G,MATCH($A244,Maestro!$A:$A,0)))),""))</f>
        <v/>
      </c>
      <c r="F244" s="13" t="str">
        <f aca="false">IF($A244="","",IFERROR(INDEX(Maestro!$H:$H,MATCH($A244,Maestro!$A:$A,0))&amp;"",""))</f>
        <v/>
      </c>
      <c r="G244" s="13" t="str">
        <f aca="false">IF($A244="","",IFERROR(INDEX(Maestro!$I:$I,MATCH($A244,Maestro!$A:$A,0))&amp;"",""))</f>
        <v/>
      </c>
      <c r="H244" s="14"/>
      <c r="I244" s="11"/>
    </row>
    <row r="245" customFormat="false" ht="15" hidden="false" customHeight="false" outlineLevel="0" collapsed="false">
      <c r="A245" s="11"/>
      <c r="B245" s="12"/>
      <c r="C245" s="13" t="str">
        <f aca="false">IF($A245="","",IFERROR(INDEX(Maestro!$C:$C,MATCH($A245,Maestro!$A:$A,0)),"Código no existe"))</f>
        <v/>
      </c>
      <c r="D245" s="13" t="str">
        <f aca="false">IF($A245="","",IFERROR(INDEX(Maestro!$D:$D,MATCH($A245,Maestro!$A:$A,0))&amp;"",""))</f>
        <v/>
      </c>
      <c r="E245" s="13" t="str">
        <f aca="false">IF($A245="","",IFERROR(IF(INDEX(Maestro!$I:$I,MATCH($A245,Maestro!$A:$A,0))="Peso","Por libra",TRIM(INDEX(Maestro!$E:$E,MATCH($A245,Maestro!$A:$A,0))&amp;" "&amp;INDEX(Maestro!$F:$F,MATCH($A245,Maestro!$A:$A,0))&amp;" "&amp;INDEX(Maestro!$G:$G,MATCH($A245,Maestro!$A:$A,0)))),""))</f>
        <v/>
      </c>
      <c r="F245" s="13" t="str">
        <f aca="false">IF($A245="","",IFERROR(INDEX(Maestro!$H:$H,MATCH($A245,Maestro!$A:$A,0))&amp;"",""))</f>
        <v/>
      </c>
      <c r="G245" s="13" t="str">
        <f aca="false">IF($A245="","",IFERROR(INDEX(Maestro!$I:$I,MATCH($A245,Maestro!$A:$A,0))&amp;"",""))</f>
        <v/>
      </c>
      <c r="H245" s="14"/>
      <c r="I245" s="11"/>
    </row>
    <row r="246" customFormat="false" ht="15" hidden="false" customHeight="false" outlineLevel="0" collapsed="false">
      <c r="A246" s="11"/>
      <c r="B246" s="12"/>
      <c r="C246" s="13" t="str">
        <f aca="false">IF($A246="","",IFERROR(INDEX(Maestro!$C:$C,MATCH($A246,Maestro!$A:$A,0)),"Código no existe"))</f>
        <v/>
      </c>
      <c r="D246" s="13" t="str">
        <f aca="false">IF($A246="","",IFERROR(INDEX(Maestro!$D:$D,MATCH($A246,Maestro!$A:$A,0))&amp;"",""))</f>
        <v/>
      </c>
      <c r="E246" s="13" t="str">
        <f aca="false">IF($A246="","",IFERROR(IF(INDEX(Maestro!$I:$I,MATCH($A246,Maestro!$A:$A,0))="Peso","Por libra",TRIM(INDEX(Maestro!$E:$E,MATCH($A246,Maestro!$A:$A,0))&amp;" "&amp;INDEX(Maestro!$F:$F,MATCH($A246,Maestro!$A:$A,0))&amp;" "&amp;INDEX(Maestro!$G:$G,MATCH($A246,Maestro!$A:$A,0)))),""))</f>
        <v/>
      </c>
      <c r="F246" s="13" t="str">
        <f aca="false">IF($A246="","",IFERROR(INDEX(Maestro!$H:$H,MATCH($A246,Maestro!$A:$A,0))&amp;"",""))</f>
        <v/>
      </c>
      <c r="G246" s="13" t="str">
        <f aca="false">IF($A246="","",IFERROR(INDEX(Maestro!$I:$I,MATCH($A246,Maestro!$A:$A,0))&amp;"",""))</f>
        <v/>
      </c>
      <c r="H246" s="14"/>
      <c r="I246" s="11"/>
    </row>
    <row r="247" customFormat="false" ht="15" hidden="false" customHeight="false" outlineLevel="0" collapsed="false">
      <c r="A247" s="11"/>
      <c r="B247" s="12"/>
      <c r="C247" s="13" t="str">
        <f aca="false">IF($A247="","",IFERROR(INDEX(Maestro!$C:$C,MATCH($A247,Maestro!$A:$A,0)),"Código no existe"))</f>
        <v/>
      </c>
      <c r="D247" s="13" t="str">
        <f aca="false">IF($A247="","",IFERROR(INDEX(Maestro!$D:$D,MATCH($A247,Maestro!$A:$A,0))&amp;"",""))</f>
        <v/>
      </c>
      <c r="E247" s="13" t="str">
        <f aca="false">IF($A247="","",IFERROR(IF(INDEX(Maestro!$I:$I,MATCH($A247,Maestro!$A:$A,0))="Peso","Por libra",TRIM(INDEX(Maestro!$E:$E,MATCH($A247,Maestro!$A:$A,0))&amp;" "&amp;INDEX(Maestro!$F:$F,MATCH($A247,Maestro!$A:$A,0))&amp;" "&amp;INDEX(Maestro!$G:$G,MATCH($A247,Maestro!$A:$A,0)))),""))</f>
        <v/>
      </c>
      <c r="F247" s="13" t="str">
        <f aca="false">IF($A247="","",IFERROR(INDEX(Maestro!$H:$H,MATCH($A247,Maestro!$A:$A,0))&amp;"",""))</f>
        <v/>
      </c>
      <c r="G247" s="13" t="str">
        <f aca="false">IF($A247="","",IFERROR(INDEX(Maestro!$I:$I,MATCH($A247,Maestro!$A:$A,0))&amp;"",""))</f>
        <v/>
      </c>
      <c r="H247" s="14"/>
      <c r="I247" s="11"/>
    </row>
    <row r="248" customFormat="false" ht="15" hidden="false" customHeight="false" outlineLevel="0" collapsed="false">
      <c r="A248" s="11"/>
      <c r="B248" s="12"/>
      <c r="C248" s="13" t="str">
        <f aca="false">IF($A248="","",IFERROR(INDEX(Maestro!$C:$C,MATCH($A248,Maestro!$A:$A,0)),"Código no existe"))</f>
        <v/>
      </c>
      <c r="D248" s="13" t="str">
        <f aca="false">IF($A248="","",IFERROR(INDEX(Maestro!$D:$D,MATCH($A248,Maestro!$A:$A,0))&amp;"",""))</f>
        <v/>
      </c>
      <c r="E248" s="13" t="str">
        <f aca="false">IF($A248="","",IFERROR(IF(INDEX(Maestro!$I:$I,MATCH($A248,Maestro!$A:$A,0))="Peso","Por libra",TRIM(INDEX(Maestro!$E:$E,MATCH($A248,Maestro!$A:$A,0))&amp;" "&amp;INDEX(Maestro!$F:$F,MATCH($A248,Maestro!$A:$A,0))&amp;" "&amp;INDEX(Maestro!$G:$G,MATCH($A248,Maestro!$A:$A,0)))),""))</f>
        <v/>
      </c>
      <c r="F248" s="13" t="str">
        <f aca="false">IF($A248="","",IFERROR(INDEX(Maestro!$H:$H,MATCH($A248,Maestro!$A:$A,0))&amp;"",""))</f>
        <v/>
      </c>
      <c r="G248" s="13" t="str">
        <f aca="false">IF($A248="","",IFERROR(INDEX(Maestro!$I:$I,MATCH($A248,Maestro!$A:$A,0))&amp;"",""))</f>
        <v/>
      </c>
      <c r="H248" s="14"/>
      <c r="I248" s="11"/>
    </row>
    <row r="249" customFormat="false" ht="15" hidden="false" customHeight="false" outlineLevel="0" collapsed="false">
      <c r="A249" s="11"/>
      <c r="B249" s="12"/>
      <c r="C249" s="13" t="str">
        <f aca="false">IF($A249="","",IFERROR(INDEX(Maestro!$C:$C,MATCH($A249,Maestro!$A:$A,0)),"Código no existe"))</f>
        <v/>
      </c>
      <c r="D249" s="13" t="str">
        <f aca="false">IF($A249="","",IFERROR(INDEX(Maestro!$D:$D,MATCH($A249,Maestro!$A:$A,0))&amp;"",""))</f>
        <v/>
      </c>
      <c r="E249" s="13" t="str">
        <f aca="false">IF($A249="","",IFERROR(IF(INDEX(Maestro!$I:$I,MATCH($A249,Maestro!$A:$A,0))="Peso","Por libra",TRIM(INDEX(Maestro!$E:$E,MATCH($A249,Maestro!$A:$A,0))&amp;" "&amp;INDEX(Maestro!$F:$F,MATCH($A249,Maestro!$A:$A,0))&amp;" "&amp;INDEX(Maestro!$G:$G,MATCH($A249,Maestro!$A:$A,0)))),""))</f>
        <v/>
      </c>
      <c r="F249" s="13" t="str">
        <f aca="false">IF($A249="","",IFERROR(INDEX(Maestro!$H:$H,MATCH($A249,Maestro!$A:$A,0))&amp;"",""))</f>
        <v/>
      </c>
      <c r="G249" s="13" t="str">
        <f aca="false">IF($A249="","",IFERROR(INDEX(Maestro!$I:$I,MATCH($A249,Maestro!$A:$A,0))&amp;"",""))</f>
        <v/>
      </c>
      <c r="H249" s="14"/>
      <c r="I249" s="11"/>
    </row>
    <row r="250" customFormat="false" ht="15" hidden="false" customHeight="false" outlineLevel="0" collapsed="false">
      <c r="A250" s="11"/>
      <c r="B250" s="12"/>
      <c r="C250" s="13" t="str">
        <f aca="false">IF($A250="","",IFERROR(INDEX(Maestro!$C:$C,MATCH($A250,Maestro!$A:$A,0)),"Código no existe"))</f>
        <v/>
      </c>
      <c r="D250" s="13" t="str">
        <f aca="false">IF($A250="","",IFERROR(INDEX(Maestro!$D:$D,MATCH($A250,Maestro!$A:$A,0))&amp;"",""))</f>
        <v/>
      </c>
      <c r="E250" s="13" t="str">
        <f aca="false">IF($A250="","",IFERROR(IF(INDEX(Maestro!$I:$I,MATCH($A250,Maestro!$A:$A,0))="Peso","Por libra",TRIM(INDEX(Maestro!$E:$E,MATCH($A250,Maestro!$A:$A,0))&amp;" "&amp;INDEX(Maestro!$F:$F,MATCH($A250,Maestro!$A:$A,0))&amp;" "&amp;INDEX(Maestro!$G:$G,MATCH($A250,Maestro!$A:$A,0)))),""))</f>
        <v/>
      </c>
      <c r="F250" s="13" t="str">
        <f aca="false">IF($A250="","",IFERROR(INDEX(Maestro!$H:$H,MATCH($A250,Maestro!$A:$A,0))&amp;"",""))</f>
        <v/>
      </c>
      <c r="G250" s="13" t="str">
        <f aca="false">IF($A250="","",IFERROR(INDEX(Maestro!$I:$I,MATCH($A250,Maestro!$A:$A,0))&amp;"",""))</f>
        <v/>
      </c>
      <c r="H250" s="14"/>
      <c r="I250" s="11"/>
    </row>
    <row r="251" customFormat="false" ht="15" hidden="false" customHeight="false" outlineLevel="0" collapsed="false">
      <c r="A251" s="11"/>
      <c r="B251" s="12"/>
      <c r="C251" s="13" t="str">
        <f aca="false">IF($A251="","",IFERROR(INDEX(Maestro!$C:$C,MATCH($A251,Maestro!$A:$A,0)),"Código no existe"))</f>
        <v/>
      </c>
      <c r="D251" s="13" t="str">
        <f aca="false">IF($A251="","",IFERROR(INDEX(Maestro!$D:$D,MATCH($A251,Maestro!$A:$A,0))&amp;"",""))</f>
        <v/>
      </c>
      <c r="E251" s="13" t="str">
        <f aca="false">IF($A251="","",IFERROR(IF(INDEX(Maestro!$I:$I,MATCH($A251,Maestro!$A:$A,0))="Peso","Por libra",TRIM(INDEX(Maestro!$E:$E,MATCH($A251,Maestro!$A:$A,0))&amp;" "&amp;INDEX(Maestro!$F:$F,MATCH($A251,Maestro!$A:$A,0))&amp;" "&amp;INDEX(Maestro!$G:$G,MATCH($A251,Maestro!$A:$A,0)))),""))</f>
        <v/>
      </c>
      <c r="F251" s="13" t="str">
        <f aca="false">IF($A251="","",IFERROR(INDEX(Maestro!$H:$H,MATCH($A251,Maestro!$A:$A,0))&amp;"",""))</f>
        <v/>
      </c>
      <c r="G251" s="13" t="str">
        <f aca="false">IF($A251="","",IFERROR(INDEX(Maestro!$I:$I,MATCH($A251,Maestro!$A:$A,0))&amp;"",""))</f>
        <v/>
      </c>
      <c r="H251" s="14"/>
      <c r="I251" s="11"/>
    </row>
    <row r="252" customFormat="false" ht="15" hidden="false" customHeight="false" outlineLevel="0" collapsed="false">
      <c r="A252" s="11"/>
      <c r="B252" s="12"/>
      <c r="C252" s="13" t="str">
        <f aca="false">IF($A252="","",IFERROR(INDEX(Maestro!$C:$C,MATCH($A252,Maestro!$A:$A,0)),"Código no existe"))</f>
        <v/>
      </c>
      <c r="D252" s="13" t="str">
        <f aca="false">IF($A252="","",IFERROR(INDEX(Maestro!$D:$D,MATCH($A252,Maestro!$A:$A,0))&amp;"",""))</f>
        <v/>
      </c>
      <c r="E252" s="13" t="str">
        <f aca="false">IF($A252="","",IFERROR(IF(INDEX(Maestro!$I:$I,MATCH($A252,Maestro!$A:$A,0))="Peso","Por libra",TRIM(INDEX(Maestro!$E:$E,MATCH($A252,Maestro!$A:$A,0))&amp;" "&amp;INDEX(Maestro!$F:$F,MATCH($A252,Maestro!$A:$A,0))&amp;" "&amp;INDEX(Maestro!$G:$G,MATCH($A252,Maestro!$A:$A,0)))),""))</f>
        <v/>
      </c>
      <c r="F252" s="13" t="str">
        <f aca="false">IF($A252="","",IFERROR(INDEX(Maestro!$H:$H,MATCH($A252,Maestro!$A:$A,0))&amp;"",""))</f>
        <v/>
      </c>
      <c r="G252" s="13" t="str">
        <f aca="false">IF($A252="","",IFERROR(INDEX(Maestro!$I:$I,MATCH($A252,Maestro!$A:$A,0))&amp;"",""))</f>
        <v/>
      </c>
      <c r="H252" s="14"/>
      <c r="I252" s="11"/>
    </row>
    <row r="253" customFormat="false" ht="15" hidden="false" customHeight="false" outlineLevel="0" collapsed="false">
      <c r="A253" s="11"/>
      <c r="B253" s="12"/>
      <c r="C253" s="13" t="str">
        <f aca="false">IF($A253="","",IFERROR(INDEX(Maestro!$C:$C,MATCH($A253,Maestro!$A:$A,0)),"Código no existe"))</f>
        <v/>
      </c>
      <c r="D253" s="13" t="str">
        <f aca="false">IF($A253="","",IFERROR(INDEX(Maestro!$D:$D,MATCH($A253,Maestro!$A:$A,0))&amp;"",""))</f>
        <v/>
      </c>
      <c r="E253" s="13" t="str">
        <f aca="false">IF($A253="","",IFERROR(IF(INDEX(Maestro!$I:$I,MATCH($A253,Maestro!$A:$A,0))="Peso","Por libra",TRIM(INDEX(Maestro!$E:$E,MATCH($A253,Maestro!$A:$A,0))&amp;" "&amp;INDEX(Maestro!$F:$F,MATCH($A253,Maestro!$A:$A,0))&amp;" "&amp;INDEX(Maestro!$G:$G,MATCH($A253,Maestro!$A:$A,0)))),""))</f>
        <v/>
      </c>
      <c r="F253" s="13" t="str">
        <f aca="false">IF($A253="","",IFERROR(INDEX(Maestro!$H:$H,MATCH($A253,Maestro!$A:$A,0))&amp;"",""))</f>
        <v/>
      </c>
      <c r="G253" s="13" t="str">
        <f aca="false">IF($A253="","",IFERROR(INDEX(Maestro!$I:$I,MATCH($A253,Maestro!$A:$A,0))&amp;"",""))</f>
        <v/>
      </c>
      <c r="H253" s="14"/>
      <c r="I253" s="11"/>
    </row>
    <row r="254" customFormat="false" ht="15" hidden="false" customHeight="false" outlineLevel="0" collapsed="false">
      <c r="A254" s="11"/>
      <c r="B254" s="12"/>
      <c r="C254" s="13" t="str">
        <f aca="false">IF($A254="","",IFERROR(INDEX(Maestro!$C:$C,MATCH($A254,Maestro!$A:$A,0)),"Código no existe"))</f>
        <v/>
      </c>
      <c r="D254" s="13" t="str">
        <f aca="false">IF($A254="","",IFERROR(INDEX(Maestro!$D:$D,MATCH($A254,Maestro!$A:$A,0))&amp;"",""))</f>
        <v/>
      </c>
      <c r="E254" s="13" t="str">
        <f aca="false">IF($A254="","",IFERROR(IF(INDEX(Maestro!$I:$I,MATCH($A254,Maestro!$A:$A,0))="Peso","Por libra",TRIM(INDEX(Maestro!$E:$E,MATCH($A254,Maestro!$A:$A,0))&amp;" "&amp;INDEX(Maestro!$F:$F,MATCH($A254,Maestro!$A:$A,0))&amp;" "&amp;INDEX(Maestro!$G:$G,MATCH($A254,Maestro!$A:$A,0)))),""))</f>
        <v/>
      </c>
      <c r="F254" s="13" t="str">
        <f aca="false">IF($A254="","",IFERROR(INDEX(Maestro!$H:$H,MATCH($A254,Maestro!$A:$A,0))&amp;"",""))</f>
        <v/>
      </c>
      <c r="G254" s="13" t="str">
        <f aca="false">IF($A254="","",IFERROR(INDEX(Maestro!$I:$I,MATCH($A254,Maestro!$A:$A,0))&amp;"",""))</f>
        <v/>
      </c>
      <c r="H254" s="14"/>
      <c r="I254" s="11"/>
    </row>
    <row r="255" customFormat="false" ht="15" hidden="false" customHeight="false" outlineLevel="0" collapsed="false">
      <c r="A255" s="11"/>
      <c r="B255" s="12"/>
      <c r="C255" s="13" t="str">
        <f aca="false">IF($A255="","",IFERROR(INDEX(Maestro!$C:$C,MATCH($A255,Maestro!$A:$A,0)),"Código no existe"))</f>
        <v/>
      </c>
      <c r="D255" s="13" t="str">
        <f aca="false">IF($A255="","",IFERROR(INDEX(Maestro!$D:$D,MATCH($A255,Maestro!$A:$A,0))&amp;"",""))</f>
        <v/>
      </c>
      <c r="E255" s="13" t="str">
        <f aca="false">IF($A255="","",IFERROR(IF(INDEX(Maestro!$I:$I,MATCH($A255,Maestro!$A:$A,0))="Peso","Por libra",TRIM(INDEX(Maestro!$E:$E,MATCH($A255,Maestro!$A:$A,0))&amp;" "&amp;INDEX(Maestro!$F:$F,MATCH($A255,Maestro!$A:$A,0))&amp;" "&amp;INDEX(Maestro!$G:$G,MATCH($A255,Maestro!$A:$A,0)))),""))</f>
        <v/>
      </c>
      <c r="F255" s="13" t="str">
        <f aca="false">IF($A255="","",IFERROR(INDEX(Maestro!$H:$H,MATCH($A255,Maestro!$A:$A,0))&amp;"",""))</f>
        <v/>
      </c>
      <c r="G255" s="13" t="str">
        <f aca="false">IF($A255="","",IFERROR(INDEX(Maestro!$I:$I,MATCH($A255,Maestro!$A:$A,0))&amp;"",""))</f>
        <v/>
      </c>
      <c r="H255" s="14"/>
      <c r="I255" s="11"/>
    </row>
    <row r="256" customFormat="false" ht="15" hidden="false" customHeight="false" outlineLevel="0" collapsed="false">
      <c r="A256" s="11"/>
      <c r="B256" s="12"/>
      <c r="C256" s="13" t="str">
        <f aca="false">IF($A256="","",IFERROR(INDEX(Maestro!$C:$C,MATCH($A256,Maestro!$A:$A,0)),"Código no existe"))</f>
        <v/>
      </c>
      <c r="D256" s="13" t="str">
        <f aca="false">IF($A256="","",IFERROR(INDEX(Maestro!$D:$D,MATCH($A256,Maestro!$A:$A,0))&amp;"",""))</f>
        <v/>
      </c>
      <c r="E256" s="13" t="str">
        <f aca="false">IF($A256="","",IFERROR(IF(INDEX(Maestro!$I:$I,MATCH($A256,Maestro!$A:$A,0))="Peso","Por libra",TRIM(INDEX(Maestro!$E:$E,MATCH($A256,Maestro!$A:$A,0))&amp;" "&amp;INDEX(Maestro!$F:$F,MATCH($A256,Maestro!$A:$A,0))&amp;" "&amp;INDEX(Maestro!$G:$G,MATCH($A256,Maestro!$A:$A,0)))),""))</f>
        <v/>
      </c>
      <c r="F256" s="13" t="str">
        <f aca="false">IF($A256="","",IFERROR(INDEX(Maestro!$H:$H,MATCH($A256,Maestro!$A:$A,0))&amp;"",""))</f>
        <v/>
      </c>
      <c r="G256" s="13" t="str">
        <f aca="false">IF($A256="","",IFERROR(INDEX(Maestro!$I:$I,MATCH($A256,Maestro!$A:$A,0))&amp;"",""))</f>
        <v/>
      </c>
      <c r="H256" s="14"/>
      <c r="I256" s="11"/>
    </row>
    <row r="257" customFormat="false" ht="15" hidden="false" customHeight="false" outlineLevel="0" collapsed="false">
      <c r="A257" s="11"/>
      <c r="B257" s="12"/>
      <c r="C257" s="13" t="str">
        <f aca="false">IF($A257="","",IFERROR(INDEX(Maestro!$C:$C,MATCH($A257,Maestro!$A:$A,0)),"Código no existe"))</f>
        <v/>
      </c>
      <c r="D257" s="13" t="str">
        <f aca="false">IF($A257="","",IFERROR(INDEX(Maestro!$D:$D,MATCH($A257,Maestro!$A:$A,0))&amp;"",""))</f>
        <v/>
      </c>
      <c r="E257" s="13" t="str">
        <f aca="false">IF($A257="","",IFERROR(IF(INDEX(Maestro!$I:$I,MATCH($A257,Maestro!$A:$A,0))="Peso","Por libra",TRIM(INDEX(Maestro!$E:$E,MATCH($A257,Maestro!$A:$A,0))&amp;" "&amp;INDEX(Maestro!$F:$F,MATCH($A257,Maestro!$A:$A,0))&amp;" "&amp;INDEX(Maestro!$G:$G,MATCH($A257,Maestro!$A:$A,0)))),""))</f>
        <v/>
      </c>
      <c r="F257" s="13" t="str">
        <f aca="false">IF($A257="","",IFERROR(INDEX(Maestro!$H:$H,MATCH($A257,Maestro!$A:$A,0))&amp;"",""))</f>
        <v/>
      </c>
      <c r="G257" s="13" t="str">
        <f aca="false">IF($A257="","",IFERROR(INDEX(Maestro!$I:$I,MATCH($A257,Maestro!$A:$A,0))&amp;"",""))</f>
        <v/>
      </c>
      <c r="H257" s="14"/>
      <c r="I257" s="11"/>
    </row>
    <row r="258" customFormat="false" ht="15" hidden="false" customHeight="false" outlineLevel="0" collapsed="false">
      <c r="A258" s="11"/>
      <c r="B258" s="12"/>
      <c r="C258" s="13" t="str">
        <f aca="false">IF($A258="","",IFERROR(INDEX(Maestro!$C:$C,MATCH($A258,Maestro!$A:$A,0)),"Código no existe"))</f>
        <v/>
      </c>
      <c r="D258" s="13" t="str">
        <f aca="false">IF($A258="","",IFERROR(INDEX(Maestro!$D:$D,MATCH($A258,Maestro!$A:$A,0))&amp;"",""))</f>
        <v/>
      </c>
      <c r="E258" s="13" t="str">
        <f aca="false">IF($A258="","",IFERROR(IF(INDEX(Maestro!$I:$I,MATCH($A258,Maestro!$A:$A,0))="Peso","Por libra",TRIM(INDEX(Maestro!$E:$E,MATCH($A258,Maestro!$A:$A,0))&amp;" "&amp;INDEX(Maestro!$F:$F,MATCH($A258,Maestro!$A:$A,0))&amp;" "&amp;INDEX(Maestro!$G:$G,MATCH($A258,Maestro!$A:$A,0)))),""))</f>
        <v/>
      </c>
      <c r="F258" s="13" t="str">
        <f aca="false">IF($A258="","",IFERROR(INDEX(Maestro!$H:$H,MATCH($A258,Maestro!$A:$A,0))&amp;"",""))</f>
        <v/>
      </c>
      <c r="G258" s="13" t="str">
        <f aca="false">IF($A258="","",IFERROR(INDEX(Maestro!$I:$I,MATCH($A258,Maestro!$A:$A,0))&amp;"",""))</f>
        <v/>
      </c>
      <c r="H258" s="14"/>
      <c r="I258" s="11"/>
    </row>
    <row r="259" customFormat="false" ht="15" hidden="false" customHeight="false" outlineLevel="0" collapsed="false">
      <c r="A259" s="11"/>
      <c r="B259" s="12"/>
      <c r="C259" s="13" t="str">
        <f aca="false">IF($A259="","",IFERROR(INDEX(Maestro!$C:$C,MATCH($A259,Maestro!$A:$A,0)),"Código no existe"))</f>
        <v/>
      </c>
      <c r="D259" s="13" t="str">
        <f aca="false">IF($A259="","",IFERROR(INDEX(Maestro!$D:$D,MATCH($A259,Maestro!$A:$A,0))&amp;"",""))</f>
        <v/>
      </c>
      <c r="E259" s="13" t="str">
        <f aca="false">IF($A259="","",IFERROR(IF(INDEX(Maestro!$I:$I,MATCH($A259,Maestro!$A:$A,0))="Peso","Por libra",TRIM(INDEX(Maestro!$E:$E,MATCH($A259,Maestro!$A:$A,0))&amp;" "&amp;INDEX(Maestro!$F:$F,MATCH($A259,Maestro!$A:$A,0))&amp;" "&amp;INDEX(Maestro!$G:$G,MATCH($A259,Maestro!$A:$A,0)))),""))</f>
        <v/>
      </c>
      <c r="F259" s="13" t="str">
        <f aca="false">IF($A259="","",IFERROR(INDEX(Maestro!$H:$H,MATCH($A259,Maestro!$A:$A,0))&amp;"",""))</f>
        <v/>
      </c>
      <c r="G259" s="13" t="str">
        <f aca="false">IF($A259="","",IFERROR(INDEX(Maestro!$I:$I,MATCH($A259,Maestro!$A:$A,0))&amp;"",""))</f>
        <v/>
      </c>
      <c r="H259" s="14"/>
      <c r="I259" s="11"/>
    </row>
    <row r="260" customFormat="false" ht="15" hidden="false" customHeight="false" outlineLevel="0" collapsed="false">
      <c r="A260" s="11"/>
      <c r="B260" s="12"/>
      <c r="C260" s="13" t="str">
        <f aca="false">IF($A260="","",IFERROR(INDEX(Maestro!$C:$C,MATCH($A260,Maestro!$A:$A,0)),"Código no existe"))</f>
        <v/>
      </c>
      <c r="D260" s="13" t="str">
        <f aca="false">IF($A260="","",IFERROR(INDEX(Maestro!$D:$D,MATCH($A260,Maestro!$A:$A,0))&amp;"",""))</f>
        <v/>
      </c>
      <c r="E260" s="13" t="str">
        <f aca="false">IF($A260="","",IFERROR(IF(INDEX(Maestro!$I:$I,MATCH($A260,Maestro!$A:$A,0))="Peso","Por libra",TRIM(INDEX(Maestro!$E:$E,MATCH($A260,Maestro!$A:$A,0))&amp;" "&amp;INDEX(Maestro!$F:$F,MATCH($A260,Maestro!$A:$A,0))&amp;" "&amp;INDEX(Maestro!$G:$G,MATCH($A260,Maestro!$A:$A,0)))),""))</f>
        <v/>
      </c>
      <c r="F260" s="13" t="str">
        <f aca="false">IF($A260="","",IFERROR(INDEX(Maestro!$H:$H,MATCH($A260,Maestro!$A:$A,0))&amp;"",""))</f>
        <v/>
      </c>
      <c r="G260" s="13" t="str">
        <f aca="false">IF($A260="","",IFERROR(INDEX(Maestro!$I:$I,MATCH($A260,Maestro!$A:$A,0))&amp;"",""))</f>
        <v/>
      </c>
      <c r="H260" s="14"/>
      <c r="I260" s="11"/>
    </row>
    <row r="261" customFormat="false" ht="15" hidden="false" customHeight="false" outlineLevel="0" collapsed="false">
      <c r="A261" s="11"/>
      <c r="B261" s="12"/>
      <c r="C261" s="13" t="str">
        <f aca="false">IF($A261="","",IFERROR(INDEX(Maestro!$C:$C,MATCH($A261,Maestro!$A:$A,0)),"Código no existe"))</f>
        <v/>
      </c>
      <c r="D261" s="13" t="str">
        <f aca="false">IF($A261="","",IFERROR(INDEX(Maestro!$D:$D,MATCH($A261,Maestro!$A:$A,0))&amp;"",""))</f>
        <v/>
      </c>
      <c r="E261" s="13" t="str">
        <f aca="false">IF($A261="","",IFERROR(IF(INDEX(Maestro!$I:$I,MATCH($A261,Maestro!$A:$A,0))="Peso","Por libra",TRIM(INDEX(Maestro!$E:$E,MATCH($A261,Maestro!$A:$A,0))&amp;" "&amp;INDEX(Maestro!$F:$F,MATCH($A261,Maestro!$A:$A,0))&amp;" "&amp;INDEX(Maestro!$G:$G,MATCH($A261,Maestro!$A:$A,0)))),""))</f>
        <v/>
      </c>
      <c r="F261" s="13" t="str">
        <f aca="false">IF($A261="","",IFERROR(INDEX(Maestro!$H:$H,MATCH($A261,Maestro!$A:$A,0))&amp;"",""))</f>
        <v/>
      </c>
      <c r="G261" s="13" t="str">
        <f aca="false">IF($A261="","",IFERROR(INDEX(Maestro!$I:$I,MATCH($A261,Maestro!$A:$A,0))&amp;"",""))</f>
        <v/>
      </c>
      <c r="H261" s="14"/>
      <c r="I261" s="11"/>
    </row>
    <row r="262" customFormat="false" ht="15" hidden="false" customHeight="false" outlineLevel="0" collapsed="false">
      <c r="A262" s="11"/>
      <c r="B262" s="12"/>
      <c r="C262" s="13" t="str">
        <f aca="false">IF($A262="","",IFERROR(INDEX(Maestro!$C:$C,MATCH($A262,Maestro!$A:$A,0)),"Código no existe"))</f>
        <v/>
      </c>
      <c r="D262" s="13" t="str">
        <f aca="false">IF($A262="","",IFERROR(INDEX(Maestro!$D:$D,MATCH($A262,Maestro!$A:$A,0))&amp;"",""))</f>
        <v/>
      </c>
      <c r="E262" s="13" t="str">
        <f aca="false">IF($A262="","",IFERROR(IF(INDEX(Maestro!$I:$I,MATCH($A262,Maestro!$A:$A,0))="Peso","Por libra",TRIM(INDEX(Maestro!$E:$E,MATCH($A262,Maestro!$A:$A,0))&amp;" "&amp;INDEX(Maestro!$F:$F,MATCH($A262,Maestro!$A:$A,0))&amp;" "&amp;INDEX(Maestro!$G:$G,MATCH($A262,Maestro!$A:$A,0)))),""))</f>
        <v/>
      </c>
      <c r="F262" s="13" t="str">
        <f aca="false">IF($A262="","",IFERROR(INDEX(Maestro!$H:$H,MATCH($A262,Maestro!$A:$A,0))&amp;"",""))</f>
        <v/>
      </c>
      <c r="G262" s="13" t="str">
        <f aca="false">IF($A262="","",IFERROR(INDEX(Maestro!$I:$I,MATCH($A262,Maestro!$A:$A,0))&amp;"",""))</f>
        <v/>
      </c>
      <c r="H262" s="14"/>
      <c r="I262" s="11"/>
    </row>
    <row r="263" customFormat="false" ht="15" hidden="false" customHeight="false" outlineLevel="0" collapsed="false">
      <c r="A263" s="11"/>
      <c r="B263" s="12"/>
      <c r="C263" s="13" t="str">
        <f aca="false">IF($A263="","",IFERROR(INDEX(Maestro!$C:$C,MATCH($A263,Maestro!$A:$A,0)),"Código no existe"))</f>
        <v/>
      </c>
      <c r="D263" s="13" t="str">
        <f aca="false">IF($A263="","",IFERROR(INDEX(Maestro!$D:$D,MATCH($A263,Maestro!$A:$A,0))&amp;"",""))</f>
        <v/>
      </c>
      <c r="E263" s="13" t="str">
        <f aca="false">IF($A263="","",IFERROR(IF(INDEX(Maestro!$I:$I,MATCH($A263,Maestro!$A:$A,0))="Peso","Por libra",TRIM(INDEX(Maestro!$E:$E,MATCH($A263,Maestro!$A:$A,0))&amp;" "&amp;INDEX(Maestro!$F:$F,MATCH($A263,Maestro!$A:$A,0))&amp;" "&amp;INDEX(Maestro!$G:$G,MATCH($A263,Maestro!$A:$A,0)))),""))</f>
        <v/>
      </c>
      <c r="F263" s="13" t="str">
        <f aca="false">IF($A263="","",IFERROR(INDEX(Maestro!$H:$H,MATCH($A263,Maestro!$A:$A,0))&amp;"",""))</f>
        <v/>
      </c>
      <c r="G263" s="13" t="str">
        <f aca="false">IF($A263="","",IFERROR(INDEX(Maestro!$I:$I,MATCH($A263,Maestro!$A:$A,0))&amp;"",""))</f>
        <v/>
      </c>
      <c r="H263" s="14"/>
      <c r="I263" s="11"/>
    </row>
    <row r="264" customFormat="false" ht="15" hidden="false" customHeight="false" outlineLevel="0" collapsed="false">
      <c r="A264" s="11"/>
      <c r="B264" s="12"/>
      <c r="C264" s="13" t="str">
        <f aca="false">IF($A264="","",IFERROR(INDEX(Maestro!$C:$C,MATCH($A264,Maestro!$A:$A,0)),"Código no existe"))</f>
        <v/>
      </c>
      <c r="D264" s="13" t="str">
        <f aca="false">IF($A264="","",IFERROR(INDEX(Maestro!$D:$D,MATCH($A264,Maestro!$A:$A,0))&amp;"",""))</f>
        <v/>
      </c>
      <c r="E264" s="13" t="str">
        <f aca="false">IF($A264="","",IFERROR(IF(INDEX(Maestro!$I:$I,MATCH($A264,Maestro!$A:$A,0))="Peso","Por libra",TRIM(INDEX(Maestro!$E:$E,MATCH($A264,Maestro!$A:$A,0))&amp;" "&amp;INDEX(Maestro!$F:$F,MATCH($A264,Maestro!$A:$A,0))&amp;" "&amp;INDEX(Maestro!$G:$G,MATCH($A264,Maestro!$A:$A,0)))),""))</f>
        <v/>
      </c>
      <c r="F264" s="13" t="str">
        <f aca="false">IF($A264="","",IFERROR(INDEX(Maestro!$H:$H,MATCH($A264,Maestro!$A:$A,0))&amp;"",""))</f>
        <v/>
      </c>
      <c r="G264" s="13" t="str">
        <f aca="false">IF($A264="","",IFERROR(INDEX(Maestro!$I:$I,MATCH($A264,Maestro!$A:$A,0))&amp;"",""))</f>
        <v/>
      </c>
      <c r="H264" s="14"/>
      <c r="I264" s="11"/>
    </row>
    <row r="265" customFormat="false" ht="15" hidden="false" customHeight="false" outlineLevel="0" collapsed="false">
      <c r="A265" s="11"/>
      <c r="B265" s="12"/>
      <c r="C265" s="13" t="str">
        <f aca="false">IF($A265="","",IFERROR(INDEX(Maestro!$C:$C,MATCH($A265,Maestro!$A:$A,0)),"Código no existe"))</f>
        <v/>
      </c>
      <c r="D265" s="13" t="str">
        <f aca="false">IF($A265="","",IFERROR(INDEX(Maestro!$D:$D,MATCH($A265,Maestro!$A:$A,0))&amp;"",""))</f>
        <v/>
      </c>
      <c r="E265" s="13" t="str">
        <f aca="false">IF($A265="","",IFERROR(IF(INDEX(Maestro!$I:$I,MATCH($A265,Maestro!$A:$A,0))="Peso","Por libra",TRIM(INDEX(Maestro!$E:$E,MATCH($A265,Maestro!$A:$A,0))&amp;" "&amp;INDEX(Maestro!$F:$F,MATCH($A265,Maestro!$A:$A,0))&amp;" "&amp;INDEX(Maestro!$G:$G,MATCH($A265,Maestro!$A:$A,0)))),""))</f>
        <v/>
      </c>
      <c r="F265" s="13" t="str">
        <f aca="false">IF($A265="","",IFERROR(INDEX(Maestro!$H:$H,MATCH($A265,Maestro!$A:$A,0))&amp;"",""))</f>
        <v/>
      </c>
      <c r="G265" s="13" t="str">
        <f aca="false">IF($A265="","",IFERROR(INDEX(Maestro!$I:$I,MATCH($A265,Maestro!$A:$A,0))&amp;"",""))</f>
        <v/>
      </c>
      <c r="H265" s="14"/>
      <c r="I265" s="11"/>
    </row>
    <row r="266" customFormat="false" ht="15" hidden="false" customHeight="false" outlineLevel="0" collapsed="false">
      <c r="A266" s="11"/>
      <c r="B266" s="12"/>
      <c r="C266" s="13" t="str">
        <f aca="false">IF($A266="","",IFERROR(INDEX(Maestro!$C:$C,MATCH($A266,Maestro!$A:$A,0)),"Código no existe"))</f>
        <v/>
      </c>
      <c r="D266" s="13" t="str">
        <f aca="false">IF($A266="","",IFERROR(INDEX(Maestro!$D:$D,MATCH($A266,Maestro!$A:$A,0))&amp;"",""))</f>
        <v/>
      </c>
      <c r="E266" s="13" t="str">
        <f aca="false">IF($A266="","",IFERROR(IF(INDEX(Maestro!$I:$I,MATCH($A266,Maestro!$A:$A,0))="Peso","Por libra",TRIM(INDEX(Maestro!$E:$E,MATCH($A266,Maestro!$A:$A,0))&amp;" "&amp;INDEX(Maestro!$F:$F,MATCH($A266,Maestro!$A:$A,0))&amp;" "&amp;INDEX(Maestro!$G:$G,MATCH($A266,Maestro!$A:$A,0)))),""))</f>
        <v/>
      </c>
      <c r="F266" s="13" t="str">
        <f aca="false">IF($A266="","",IFERROR(INDEX(Maestro!$H:$H,MATCH($A266,Maestro!$A:$A,0))&amp;"",""))</f>
        <v/>
      </c>
      <c r="G266" s="13" t="str">
        <f aca="false">IF($A266="","",IFERROR(INDEX(Maestro!$I:$I,MATCH($A266,Maestro!$A:$A,0))&amp;"",""))</f>
        <v/>
      </c>
      <c r="H266" s="14"/>
      <c r="I266" s="11"/>
    </row>
    <row r="267" customFormat="false" ht="15" hidden="false" customHeight="false" outlineLevel="0" collapsed="false">
      <c r="A267" s="11"/>
      <c r="B267" s="12"/>
      <c r="C267" s="13" t="str">
        <f aca="false">IF($A267="","",IFERROR(INDEX(Maestro!$C:$C,MATCH($A267,Maestro!$A:$A,0)),"Código no existe"))</f>
        <v/>
      </c>
      <c r="D267" s="13" t="str">
        <f aca="false">IF($A267="","",IFERROR(INDEX(Maestro!$D:$D,MATCH($A267,Maestro!$A:$A,0))&amp;"",""))</f>
        <v/>
      </c>
      <c r="E267" s="13" t="str">
        <f aca="false">IF($A267="","",IFERROR(IF(INDEX(Maestro!$I:$I,MATCH($A267,Maestro!$A:$A,0))="Peso","Por libra",TRIM(INDEX(Maestro!$E:$E,MATCH($A267,Maestro!$A:$A,0))&amp;" "&amp;INDEX(Maestro!$F:$F,MATCH($A267,Maestro!$A:$A,0))&amp;" "&amp;INDEX(Maestro!$G:$G,MATCH($A267,Maestro!$A:$A,0)))),""))</f>
        <v/>
      </c>
      <c r="F267" s="13" t="str">
        <f aca="false">IF($A267="","",IFERROR(INDEX(Maestro!$H:$H,MATCH($A267,Maestro!$A:$A,0))&amp;"",""))</f>
        <v/>
      </c>
      <c r="G267" s="13" t="str">
        <f aca="false">IF($A267="","",IFERROR(INDEX(Maestro!$I:$I,MATCH($A267,Maestro!$A:$A,0))&amp;"",""))</f>
        <v/>
      </c>
      <c r="H267" s="14"/>
      <c r="I267" s="11"/>
    </row>
    <row r="268" customFormat="false" ht="15" hidden="false" customHeight="false" outlineLevel="0" collapsed="false">
      <c r="A268" s="11"/>
      <c r="B268" s="12"/>
      <c r="C268" s="13" t="str">
        <f aca="false">IF($A268="","",IFERROR(INDEX(Maestro!$C:$C,MATCH($A268,Maestro!$A:$A,0)),"Código no existe"))</f>
        <v/>
      </c>
      <c r="D268" s="13" t="str">
        <f aca="false">IF($A268="","",IFERROR(INDEX(Maestro!$D:$D,MATCH($A268,Maestro!$A:$A,0))&amp;"",""))</f>
        <v/>
      </c>
      <c r="E268" s="13" t="str">
        <f aca="false">IF($A268="","",IFERROR(IF(INDEX(Maestro!$I:$I,MATCH($A268,Maestro!$A:$A,0))="Peso","Por libra",TRIM(INDEX(Maestro!$E:$E,MATCH($A268,Maestro!$A:$A,0))&amp;" "&amp;INDEX(Maestro!$F:$F,MATCH($A268,Maestro!$A:$A,0))&amp;" "&amp;INDEX(Maestro!$G:$G,MATCH($A268,Maestro!$A:$A,0)))),""))</f>
        <v/>
      </c>
      <c r="F268" s="13" t="str">
        <f aca="false">IF($A268="","",IFERROR(INDEX(Maestro!$H:$H,MATCH($A268,Maestro!$A:$A,0))&amp;"",""))</f>
        <v/>
      </c>
      <c r="G268" s="13" t="str">
        <f aca="false">IF($A268="","",IFERROR(INDEX(Maestro!$I:$I,MATCH($A268,Maestro!$A:$A,0))&amp;"",""))</f>
        <v/>
      </c>
      <c r="H268" s="14"/>
      <c r="I268" s="11"/>
    </row>
    <row r="269" customFormat="false" ht="15" hidden="false" customHeight="false" outlineLevel="0" collapsed="false">
      <c r="A269" s="11"/>
      <c r="B269" s="12"/>
      <c r="C269" s="13" t="str">
        <f aca="false">IF($A269="","",IFERROR(INDEX(Maestro!$C:$C,MATCH($A269,Maestro!$A:$A,0)),"Código no existe"))</f>
        <v/>
      </c>
      <c r="D269" s="13" t="str">
        <f aca="false">IF($A269="","",IFERROR(INDEX(Maestro!$D:$D,MATCH($A269,Maestro!$A:$A,0))&amp;"",""))</f>
        <v/>
      </c>
      <c r="E269" s="13" t="str">
        <f aca="false">IF($A269="","",IFERROR(IF(INDEX(Maestro!$I:$I,MATCH($A269,Maestro!$A:$A,0))="Peso","Por libra",TRIM(INDEX(Maestro!$E:$E,MATCH($A269,Maestro!$A:$A,0))&amp;" "&amp;INDEX(Maestro!$F:$F,MATCH($A269,Maestro!$A:$A,0))&amp;" "&amp;INDEX(Maestro!$G:$G,MATCH($A269,Maestro!$A:$A,0)))),""))</f>
        <v/>
      </c>
      <c r="F269" s="13" t="str">
        <f aca="false">IF($A269="","",IFERROR(INDEX(Maestro!$H:$H,MATCH($A269,Maestro!$A:$A,0))&amp;"",""))</f>
        <v/>
      </c>
      <c r="G269" s="13" t="str">
        <f aca="false">IF($A269="","",IFERROR(INDEX(Maestro!$I:$I,MATCH($A269,Maestro!$A:$A,0))&amp;"",""))</f>
        <v/>
      </c>
      <c r="H269" s="14"/>
      <c r="I269" s="11"/>
    </row>
    <row r="270" customFormat="false" ht="15" hidden="false" customHeight="false" outlineLevel="0" collapsed="false">
      <c r="A270" s="11"/>
      <c r="B270" s="12"/>
      <c r="C270" s="13" t="str">
        <f aca="false">IF($A270="","",IFERROR(INDEX(Maestro!$C:$C,MATCH($A270,Maestro!$A:$A,0)),"Código no existe"))</f>
        <v/>
      </c>
      <c r="D270" s="13" t="str">
        <f aca="false">IF($A270="","",IFERROR(INDEX(Maestro!$D:$D,MATCH($A270,Maestro!$A:$A,0))&amp;"",""))</f>
        <v/>
      </c>
      <c r="E270" s="13" t="str">
        <f aca="false">IF($A270="","",IFERROR(IF(INDEX(Maestro!$I:$I,MATCH($A270,Maestro!$A:$A,0))="Peso","Por libra",TRIM(INDEX(Maestro!$E:$E,MATCH($A270,Maestro!$A:$A,0))&amp;" "&amp;INDEX(Maestro!$F:$F,MATCH($A270,Maestro!$A:$A,0))&amp;" "&amp;INDEX(Maestro!$G:$G,MATCH($A270,Maestro!$A:$A,0)))),""))</f>
        <v/>
      </c>
      <c r="F270" s="13" t="str">
        <f aca="false">IF($A270="","",IFERROR(INDEX(Maestro!$H:$H,MATCH($A270,Maestro!$A:$A,0))&amp;"",""))</f>
        <v/>
      </c>
      <c r="G270" s="13" t="str">
        <f aca="false">IF($A270="","",IFERROR(INDEX(Maestro!$I:$I,MATCH($A270,Maestro!$A:$A,0))&amp;"",""))</f>
        <v/>
      </c>
      <c r="H270" s="14"/>
      <c r="I270" s="11"/>
    </row>
    <row r="271" customFormat="false" ht="15" hidden="false" customHeight="false" outlineLevel="0" collapsed="false">
      <c r="A271" s="11"/>
      <c r="B271" s="12"/>
      <c r="C271" s="13" t="str">
        <f aca="false">IF($A271="","",IFERROR(INDEX(Maestro!$C:$C,MATCH($A271,Maestro!$A:$A,0)),"Código no existe"))</f>
        <v/>
      </c>
      <c r="D271" s="13" t="str">
        <f aca="false">IF($A271="","",IFERROR(INDEX(Maestro!$D:$D,MATCH($A271,Maestro!$A:$A,0))&amp;"",""))</f>
        <v/>
      </c>
      <c r="E271" s="13" t="str">
        <f aca="false">IF($A271="","",IFERROR(IF(INDEX(Maestro!$I:$I,MATCH($A271,Maestro!$A:$A,0))="Peso","Por libra",TRIM(INDEX(Maestro!$E:$E,MATCH($A271,Maestro!$A:$A,0))&amp;" "&amp;INDEX(Maestro!$F:$F,MATCH($A271,Maestro!$A:$A,0))&amp;" "&amp;INDEX(Maestro!$G:$G,MATCH($A271,Maestro!$A:$A,0)))),""))</f>
        <v/>
      </c>
      <c r="F271" s="13" t="str">
        <f aca="false">IF($A271="","",IFERROR(INDEX(Maestro!$H:$H,MATCH($A271,Maestro!$A:$A,0))&amp;"",""))</f>
        <v/>
      </c>
      <c r="G271" s="13" t="str">
        <f aca="false">IF($A271="","",IFERROR(INDEX(Maestro!$I:$I,MATCH($A271,Maestro!$A:$A,0))&amp;"",""))</f>
        <v/>
      </c>
      <c r="H271" s="14"/>
      <c r="I271" s="11"/>
    </row>
    <row r="272" customFormat="false" ht="15" hidden="false" customHeight="false" outlineLevel="0" collapsed="false">
      <c r="A272" s="11"/>
      <c r="B272" s="12"/>
      <c r="C272" s="13" t="str">
        <f aca="false">IF($A272="","",IFERROR(INDEX(Maestro!$C:$C,MATCH($A272,Maestro!$A:$A,0)),"Código no existe"))</f>
        <v/>
      </c>
      <c r="D272" s="13" t="str">
        <f aca="false">IF($A272="","",IFERROR(INDEX(Maestro!$D:$D,MATCH($A272,Maestro!$A:$A,0))&amp;"",""))</f>
        <v/>
      </c>
      <c r="E272" s="13" t="str">
        <f aca="false">IF($A272="","",IFERROR(IF(INDEX(Maestro!$I:$I,MATCH($A272,Maestro!$A:$A,0))="Peso","Por libra",TRIM(INDEX(Maestro!$E:$E,MATCH($A272,Maestro!$A:$A,0))&amp;" "&amp;INDEX(Maestro!$F:$F,MATCH($A272,Maestro!$A:$A,0))&amp;" "&amp;INDEX(Maestro!$G:$G,MATCH($A272,Maestro!$A:$A,0)))),""))</f>
        <v/>
      </c>
      <c r="F272" s="13" t="str">
        <f aca="false">IF($A272="","",IFERROR(INDEX(Maestro!$H:$H,MATCH($A272,Maestro!$A:$A,0))&amp;"",""))</f>
        <v/>
      </c>
      <c r="G272" s="13" t="str">
        <f aca="false">IF($A272="","",IFERROR(INDEX(Maestro!$I:$I,MATCH($A272,Maestro!$A:$A,0))&amp;"",""))</f>
        <v/>
      </c>
      <c r="H272" s="14"/>
      <c r="I272" s="11"/>
    </row>
    <row r="273" customFormat="false" ht="15" hidden="false" customHeight="false" outlineLevel="0" collapsed="false">
      <c r="A273" s="11"/>
      <c r="B273" s="12"/>
      <c r="C273" s="13" t="str">
        <f aca="false">IF($A273="","",IFERROR(INDEX(Maestro!$C:$C,MATCH($A273,Maestro!$A:$A,0)),"Código no existe"))</f>
        <v/>
      </c>
      <c r="D273" s="13" t="str">
        <f aca="false">IF($A273="","",IFERROR(INDEX(Maestro!$D:$D,MATCH($A273,Maestro!$A:$A,0))&amp;"",""))</f>
        <v/>
      </c>
      <c r="E273" s="13" t="str">
        <f aca="false">IF($A273="","",IFERROR(IF(INDEX(Maestro!$I:$I,MATCH($A273,Maestro!$A:$A,0))="Peso","Por libra",TRIM(INDEX(Maestro!$E:$E,MATCH($A273,Maestro!$A:$A,0))&amp;" "&amp;INDEX(Maestro!$F:$F,MATCH($A273,Maestro!$A:$A,0))&amp;" "&amp;INDEX(Maestro!$G:$G,MATCH($A273,Maestro!$A:$A,0)))),""))</f>
        <v/>
      </c>
      <c r="F273" s="13" t="str">
        <f aca="false">IF($A273="","",IFERROR(INDEX(Maestro!$H:$H,MATCH($A273,Maestro!$A:$A,0))&amp;"",""))</f>
        <v/>
      </c>
      <c r="G273" s="13" t="str">
        <f aca="false">IF($A273="","",IFERROR(INDEX(Maestro!$I:$I,MATCH($A273,Maestro!$A:$A,0))&amp;"",""))</f>
        <v/>
      </c>
      <c r="H273" s="14"/>
      <c r="I273" s="11"/>
    </row>
    <row r="274" customFormat="false" ht="15" hidden="false" customHeight="false" outlineLevel="0" collapsed="false">
      <c r="A274" s="11"/>
      <c r="B274" s="12"/>
      <c r="C274" s="13" t="str">
        <f aca="false">IF($A274="","",IFERROR(INDEX(Maestro!$C:$C,MATCH($A274,Maestro!$A:$A,0)),"Código no existe"))</f>
        <v/>
      </c>
      <c r="D274" s="13" t="str">
        <f aca="false">IF($A274="","",IFERROR(INDEX(Maestro!$D:$D,MATCH($A274,Maestro!$A:$A,0))&amp;"",""))</f>
        <v/>
      </c>
      <c r="E274" s="13" t="str">
        <f aca="false">IF($A274="","",IFERROR(IF(INDEX(Maestro!$I:$I,MATCH($A274,Maestro!$A:$A,0))="Peso","Por libra",TRIM(INDEX(Maestro!$E:$E,MATCH($A274,Maestro!$A:$A,0))&amp;" "&amp;INDEX(Maestro!$F:$F,MATCH($A274,Maestro!$A:$A,0))&amp;" "&amp;INDEX(Maestro!$G:$G,MATCH($A274,Maestro!$A:$A,0)))),""))</f>
        <v/>
      </c>
      <c r="F274" s="13" t="str">
        <f aca="false">IF($A274="","",IFERROR(INDEX(Maestro!$H:$H,MATCH($A274,Maestro!$A:$A,0))&amp;"",""))</f>
        <v/>
      </c>
      <c r="G274" s="13" t="str">
        <f aca="false">IF($A274="","",IFERROR(INDEX(Maestro!$I:$I,MATCH($A274,Maestro!$A:$A,0))&amp;"",""))</f>
        <v/>
      </c>
      <c r="H274" s="14"/>
      <c r="I274" s="11"/>
    </row>
    <row r="275" customFormat="false" ht="15" hidden="false" customHeight="false" outlineLevel="0" collapsed="false">
      <c r="A275" s="11"/>
      <c r="B275" s="12"/>
      <c r="C275" s="13" t="str">
        <f aca="false">IF($A275="","",IFERROR(INDEX(Maestro!$C:$C,MATCH($A275,Maestro!$A:$A,0)),"Código no existe"))</f>
        <v/>
      </c>
      <c r="D275" s="13" t="str">
        <f aca="false">IF($A275="","",IFERROR(INDEX(Maestro!$D:$D,MATCH($A275,Maestro!$A:$A,0))&amp;"",""))</f>
        <v/>
      </c>
      <c r="E275" s="13" t="str">
        <f aca="false">IF($A275="","",IFERROR(IF(INDEX(Maestro!$I:$I,MATCH($A275,Maestro!$A:$A,0))="Peso","Por libra",TRIM(INDEX(Maestro!$E:$E,MATCH($A275,Maestro!$A:$A,0))&amp;" "&amp;INDEX(Maestro!$F:$F,MATCH($A275,Maestro!$A:$A,0))&amp;" "&amp;INDEX(Maestro!$G:$G,MATCH($A275,Maestro!$A:$A,0)))),""))</f>
        <v/>
      </c>
      <c r="F275" s="13" t="str">
        <f aca="false">IF($A275="","",IFERROR(INDEX(Maestro!$H:$H,MATCH($A275,Maestro!$A:$A,0))&amp;"",""))</f>
        <v/>
      </c>
      <c r="G275" s="13" t="str">
        <f aca="false">IF($A275="","",IFERROR(INDEX(Maestro!$I:$I,MATCH($A275,Maestro!$A:$A,0))&amp;"",""))</f>
        <v/>
      </c>
      <c r="H275" s="14"/>
      <c r="I275" s="11"/>
    </row>
    <row r="276" customFormat="false" ht="15" hidden="false" customHeight="false" outlineLevel="0" collapsed="false">
      <c r="A276" s="11"/>
      <c r="B276" s="12"/>
      <c r="C276" s="13" t="str">
        <f aca="false">IF($A276="","",IFERROR(INDEX(Maestro!$C:$C,MATCH($A276,Maestro!$A:$A,0)),"Código no existe"))</f>
        <v/>
      </c>
      <c r="D276" s="13" t="str">
        <f aca="false">IF($A276="","",IFERROR(INDEX(Maestro!$D:$D,MATCH($A276,Maestro!$A:$A,0))&amp;"",""))</f>
        <v/>
      </c>
      <c r="E276" s="13" t="str">
        <f aca="false">IF($A276="","",IFERROR(IF(INDEX(Maestro!$I:$I,MATCH($A276,Maestro!$A:$A,0))="Peso","Por libra",TRIM(INDEX(Maestro!$E:$E,MATCH($A276,Maestro!$A:$A,0))&amp;" "&amp;INDEX(Maestro!$F:$F,MATCH($A276,Maestro!$A:$A,0))&amp;" "&amp;INDEX(Maestro!$G:$G,MATCH($A276,Maestro!$A:$A,0)))),""))</f>
        <v/>
      </c>
      <c r="F276" s="13" t="str">
        <f aca="false">IF($A276="","",IFERROR(INDEX(Maestro!$H:$H,MATCH($A276,Maestro!$A:$A,0))&amp;"",""))</f>
        <v/>
      </c>
      <c r="G276" s="13" t="str">
        <f aca="false">IF($A276="","",IFERROR(INDEX(Maestro!$I:$I,MATCH($A276,Maestro!$A:$A,0))&amp;"",""))</f>
        <v/>
      </c>
      <c r="H276" s="14"/>
      <c r="I276" s="11"/>
    </row>
    <row r="277" customFormat="false" ht="15" hidden="false" customHeight="false" outlineLevel="0" collapsed="false">
      <c r="A277" s="11"/>
      <c r="B277" s="12"/>
      <c r="C277" s="13" t="str">
        <f aca="false">IF($A277="","",IFERROR(INDEX(Maestro!$C:$C,MATCH($A277,Maestro!$A:$A,0)),"Código no existe"))</f>
        <v/>
      </c>
      <c r="D277" s="13" t="str">
        <f aca="false">IF($A277="","",IFERROR(INDEX(Maestro!$D:$D,MATCH($A277,Maestro!$A:$A,0))&amp;"",""))</f>
        <v/>
      </c>
      <c r="E277" s="13" t="str">
        <f aca="false">IF($A277="","",IFERROR(IF(INDEX(Maestro!$I:$I,MATCH($A277,Maestro!$A:$A,0))="Peso","Por libra",TRIM(INDEX(Maestro!$E:$E,MATCH($A277,Maestro!$A:$A,0))&amp;" "&amp;INDEX(Maestro!$F:$F,MATCH($A277,Maestro!$A:$A,0))&amp;" "&amp;INDEX(Maestro!$G:$G,MATCH($A277,Maestro!$A:$A,0)))),""))</f>
        <v/>
      </c>
      <c r="F277" s="13" t="str">
        <f aca="false">IF($A277="","",IFERROR(INDEX(Maestro!$H:$H,MATCH($A277,Maestro!$A:$A,0))&amp;"",""))</f>
        <v/>
      </c>
      <c r="G277" s="13" t="str">
        <f aca="false">IF($A277="","",IFERROR(INDEX(Maestro!$I:$I,MATCH($A277,Maestro!$A:$A,0))&amp;"",""))</f>
        <v/>
      </c>
      <c r="H277" s="14"/>
      <c r="I277" s="11"/>
    </row>
    <row r="278" customFormat="false" ht="15" hidden="false" customHeight="false" outlineLevel="0" collapsed="false">
      <c r="A278" s="11"/>
      <c r="B278" s="12"/>
      <c r="C278" s="13" t="str">
        <f aca="false">IF($A278="","",IFERROR(INDEX(Maestro!$C:$C,MATCH($A278,Maestro!$A:$A,0)),"Código no existe"))</f>
        <v/>
      </c>
      <c r="D278" s="13" t="str">
        <f aca="false">IF($A278="","",IFERROR(INDEX(Maestro!$D:$D,MATCH($A278,Maestro!$A:$A,0))&amp;"",""))</f>
        <v/>
      </c>
      <c r="E278" s="13" t="str">
        <f aca="false">IF($A278="","",IFERROR(IF(INDEX(Maestro!$I:$I,MATCH($A278,Maestro!$A:$A,0))="Peso","Por libra",TRIM(INDEX(Maestro!$E:$E,MATCH($A278,Maestro!$A:$A,0))&amp;" "&amp;INDEX(Maestro!$F:$F,MATCH($A278,Maestro!$A:$A,0))&amp;" "&amp;INDEX(Maestro!$G:$G,MATCH($A278,Maestro!$A:$A,0)))),""))</f>
        <v/>
      </c>
      <c r="F278" s="13" t="str">
        <f aca="false">IF($A278="","",IFERROR(INDEX(Maestro!$H:$H,MATCH($A278,Maestro!$A:$A,0))&amp;"",""))</f>
        <v/>
      </c>
      <c r="G278" s="13" t="str">
        <f aca="false">IF($A278="","",IFERROR(INDEX(Maestro!$I:$I,MATCH($A278,Maestro!$A:$A,0))&amp;"",""))</f>
        <v/>
      </c>
      <c r="H278" s="14"/>
      <c r="I278" s="11"/>
    </row>
    <row r="279" customFormat="false" ht="15" hidden="false" customHeight="false" outlineLevel="0" collapsed="false">
      <c r="A279" s="11"/>
      <c r="B279" s="12"/>
      <c r="C279" s="13" t="str">
        <f aca="false">IF($A279="","",IFERROR(INDEX(Maestro!$C:$C,MATCH($A279,Maestro!$A:$A,0)),"Código no existe"))</f>
        <v/>
      </c>
      <c r="D279" s="13" t="str">
        <f aca="false">IF($A279="","",IFERROR(INDEX(Maestro!$D:$D,MATCH($A279,Maestro!$A:$A,0))&amp;"",""))</f>
        <v/>
      </c>
      <c r="E279" s="13" t="str">
        <f aca="false">IF($A279="","",IFERROR(IF(INDEX(Maestro!$I:$I,MATCH($A279,Maestro!$A:$A,0))="Peso","Por libra",TRIM(INDEX(Maestro!$E:$E,MATCH($A279,Maestro!$A:$A,0))&amp;" "&amp;INDEX(Maestro!$F:$F,MATCH($A279,Maestro!$A:$A,0))&amp;" "&amp;INDEX(Maestro!$G:$G,MATCH($A279,Maestro!$A:$A,0)))),""))</f>
        <v/>
      </c>
      <c r="F279" s="13" t="str">
        <f aca="false">IF($A279="","",IFERROR(INDEX(Maestro!$H:$H,MATCH($A279,Maestro!$A:$A,0))&amp;"",""))</f>
        <v/>
      </c>
      <c r="G279" s="13" t="str">
        <f aca="false">IF($A279="","",IFERROR(INDEX(Maestro!$I:$I,MATCH($A279,Maestro!$A:$A,0))&amp;"",""))</f>
        <v/>
      </c>
      <c r="H279" s="14"/>
      <c r="I279" s="11"/>
    </row>
    <row r="280" customFormat="false" ht="15" hidden="false" customHeight="false" outlineLevel="0" collapsed="false">
      <c r="A280" s="11"/>
      <c r="B280" s="12"/>
      <c r="C280" s="13" t="str">
        <f aca="false">IF($A280="","",IFERROR(INDEX(Maestro!$C:$C,MATCH($A280,Maestro!$A:$A,0)),"Código no existe"))</f>
        <v/>
      </c>
      <c r="D280" s="13" t="str">
        <f aca="false">IF($A280="","",IFERROR(INDEX(Maestro!$D:$D,MATCH($A280,Maestro!$A:$A,0))&amp;"",""))</f>
        <v/>
      </c>
      <c r="E280" s="13" t="str">
        <f aca="false">IF($A280="","",IFERROR(IF(INDEX(Maestro!$I:$I,MATCH($A280,Maestro!$A:$A,0))="Peso","Por libra",TRIM(INDEX(Maestro!$E:$E,MATCH($A280,Maestro!$A:$A,0))&amp;" "&amp;INDEX(Maestro!$F:$F,MATCH($A280,Maestro!$A:$A,0))&amp;" "&amp;INDEX(Maestro!$G:$G,MATCH($A280,Maestro!$A:$A,0)))),""))</f>
        <v/>
      </c>
      <c r="F280" s="13" t="str">
        <f aca="false">IF($A280="","",IFERROR(INDEX(Maestro!$H:$H,MATCH($A280,Maestro!$A:$A,0))&amp;"",""))</f>
        <v/>
      </c>
      <c r="G280" s="13" t="str">
        <f aca="false">IF($A280="","",IFERROR(INDEX(Maestro!$I:$I,MATCH($A280,Maestro!$A:$A,0))&amp;"",""))</f>
        <v/>
      </c>
      <c r="H280" s="14"/>
      <c r="I280" s="11"/>
    </row>
    <row r="281" customFormat="false" ht="15" hidden="false" customHeight="false" outlineLevel="0" collapsed="false">
      <c r="A281" s="11"/>
      <c r="B281" s="12"/>
      <c r="C281" s="13" t="str">
        <f aca="false">IF($A281="","",IFERROR(INDEX(Maestro!$C:$C,MATCH($A281,Maestro!$A:$A,0)),"Código no existe"))</f>
        <v/>
      </c>
      <c r="D281" s="13" t="str">
        <f aca="false">IF($A281="","",IFERROR(INDEX(Maestro!$D:$D,MATCH($A281,Maestro!$A:$A,0))&amp;"",""))</f>
        <v/>
      </c>
      <c r="E281" s="13" t="str">
        <f aca="false">IF($A281="","",IFERROR(IF(INDEX(Maestro!$I:$I,MATCH($A281,Maestro!$A:$A,0))="Peso","Por libra",TRIM(INDEX(Maestro!$E:$E,MATCH($A281,Maestro!$A:$A,0))&amp;" "&amp;INDEX(Maestro!$F:$F,MATCH($A281,Maestro!$A:$A,0))&amp;" "&amp;INDEX(Maestro!$G:$G,MATCH($A281,Maestro!$A:$A,0)))),""))</f>
        <v/>
      </c>
      <c r="F281" s="13" t="str">
        <f aca="false">IF($A281="","",IFERROR(INDEX(Maestro!$H:$H,MATCH($A281,Maestro!$A:$A,0))&amp;"",""))</f>
        <v/>
      </c>
      <c r="G281" s="13" t="str">
        <f aca="false">IF($A281="","",IFERROR(INDEX(Maestro!$I:$I,MATCH($A281,Maestro!$A:$A,0))&amp;"",""))</f>
        <v/>
      </c>
      <c r="H281" s="14"/>
      <c r="I281" s="11"/>
    </row>
    <row r="282" customFormat="false" ht="15" hidden="false" customHeight="false" outlineLevel="0" collapsed="false">
      <c r="A282" s="11"/>
      <c r="B282" s="12"/>
      <c r="C282" s="13" t="str">
        <f aca="false">IF($A282="","",IFERROR(INDEX(Maestro!$C:$C,MATCH($A282,Maestro!$A:$A,0)),"Código no existe"))</f>
        <v/>
      </c>
      <c r="D282" s="13" t="str">
        <f aca="false">IF($A282="","",IFERROR(INDEX(Maestro!$D:$D,MATCH($A282,Maestro!$A:$A,0))&amp;"",""))</f>
        <v/>
      </c>
      <c r="E282" s="13" t="str">
        <f aca="false">IF($A282="","",IFERROR(IF(INDEX(Maestro!$I:$I,MATCH($A282,Maestro!$A:$A,0))="Peso","Por libra",TRIM(INDEX(Maestro!$E:$E,MATCH($A282,Maestro!$A:$A,0))&amp;" "&amp;INDEX(Maestro!$F:$F,MATCH($A282,Maestro!$A:$A,0))&amp;" "&amp;INDEX(Maestro!$G:$G,MATCH($A282,Maestro!$A:$A,0)))),""))</f>
        <v/>
      </c>
      <c r="F282" s="13" t="str">
        <f aca="false">IF($A282="","",IFERROR(INDEX(Maestro!$H:$H,MATCH($A282,Maestro!$A:$A,0))&amp;"",""))</f>
        <v/>
      </c>
      <c r="G282" s="13" t="str">
        <f aca="false">IF($A282="","",IFERROR(INDEX(Maestro!$I:$I,MATCH($A282,Maestro!$A:$A,0))&amp;"",""))</f>
        <v/>
      </c>
      <c r="H282" s="14"/>
      <c r="I282" s="11"/>
    </row>
    <row r="283" customFormat="false" ht="15" hidden="false" customHeight="false" outlineLevel="0" collapsed="false">
      <c r="A283" s="11"/>
      <c r="B283" s="12"/>
      <c r="C283" s="13" t="str">
        <f aca="false">IF($A283="","",IFERROR(INDEX(Maestro!$C:$C,MATCH($A283,Maestro!$A:$A,0)),"Código no existe"))</f>
        <v/>
      </c>
      <c r="D283" s="13" t="str">
        <f aca="false">IF($A283="","",IFERROR(INDEX(Maestro!$D:$D,MATCH($A283,Maestro!$A:$A,0))&amp;"",""))</f>
        <v/>
      </c>
      <c r="E283" s="13" t="str">
        <f aca="false">IF($A283="","",IFERROR(IF(INDEX(Maestro!$I:$I,MATCH($A283,Maestro!$A:$A,0))="Peso","Por libra",TRIM(INDEX(Maestro!$E:$E,MATCH($A283,Maestro!$A:$A,0))&amp;" "&amp;INDEX(Maestro!$F:$F,MATCH($A283,Maestro!$A:$A,0))&amp;" "&amp;INDEX(Maestro!$G:$G,MATCH($A283,Maestro!$A:$A,0)))),""))</f>
        <v/>
      </c>
      <c r="F283" s="13" t="str">
        <f aca="false">IF($A283="","",IFERROR(INDEX(Maestro!$H:$H,MATCH($A283,Maestro!$A:$A,0))&amp;"",""))</f>
        <v/>
      </c>
      <c r="G283" s="13" t="str">
        <f aca="false">IF($A283="","",IFERROR(INDEX(Maestro!$I:$I,MATCH($A283,Maestro!$A:$A,0))&amp;"",""))</f>
        <v/>
      </c>
      <c r="H283" s="14"/>
      <c r="I283" s="11"/>
    </row>
    <row r="284" customFormat="false" ht="15" hidden="false" customHeight="false" outlineLevel="0" collapsed="false">
      <c r="A284" s="11"/>
      <c r="B284" s="12"/>
      <c r="C284" s="13" t="str">
        <f aca="false">IF($A284="","",IFERROR(INDEX(Maestro!$C:$C,MATCH($A284,Maestro!$A:$A,0)),"Código no existe"))</f>
        <v/>
      </c>
      <c r="D284" s="13" t="str">
        <f aca="false">IF($A284="","",IFERROR(INDEX(Maestro!$D:$D,MATCH($A284,Maestro!$A:$A,0))&amp;"",""))</f>
        <v/>
      </c>
      <c r="E284" s="13" t="str">
        <f aca="false">IF($A284="","",IFERROR(IF(INDEX(Maestro!$I:$I,MATCH($A284,Maestro!$A:$A,0))="Peso","Por libra",TRIM(INDEX(Maestro!$E:$E,MATCH($A284,Maestro!$A:$A,0))&amp;" "&amp;INDEX(Maestro!$F:$F,MATCH($A284,Maestro!$A:$A,0))&amp;" "&amp;INDEX(Maestro!$G:$G,MATCH($A284,Maestro!$A:$A,0)))),""))</f>
        <v/>
      </c>
      <c r="F284" s="13" t="str">
        <f aca="false">IF($A284="","",IFERROR(INDEX(Maestro!$H:$H,MATCH($A284,Maestro!$A:$A,0))&amp;"",""))</f>
        <v/>
      </c>
      <c r="G284" s="13" t="str">
        <f aca="false">IF($A284="","",IFERROR(INDEX(Maestro!$I:$I,MATCH($A284,Maestro!$A:$A,0))&amp;"",""))</f>
        <v/>
      </c>
      <c r="H284" s="14"/>
      <c r="I284" s="11"/>
    </row>
    <row r="285" customFormat="false" ht="15" hidden="false" customHeight="false" outlineLevel="0" collapsed="false">
      <c r="A285" s="11"/>
      <c r="B285" s="12"/>
      <c r="C285" s="13" t="str">
        <f aca="false">IF($A285="","",IFERROR(INDEX(Maestro!$C:$C,MATCH($A285,Maestro!$A:$A,0)),"Código no existe"))</f>
        <v/>
      </c>
      <c r="D285" s="13" t="str">
        <f aca="false">IF($A285="","",IFERROR(INDEX(Maestro!$D:$D,MATCH($A285,Maestro!$A:$A,0))&amp;"",""))</f>
        <v/>
      </c>
      <c r="E285" s="13" t="str">
        <f aca="false">IF($A285="","",IFERROR(IF(INDEX(Maestro!$I:$I,MATCH($A285,Maestro!$A:$A,0))="Peso","Por libra",TRIM(INDEX(Maestro!$E:$E,MATCH($A285,Maestro!$A:$A,0))&amp;" "&amp;INDEX(Maestro!$F:$F,MATCH($A285,Maestro!$A:$A,0))&amp;" "&amp;INDEX(Maestro!$G:$G,MATCH($A285,Maestro!$A:$A,0)))),""))</f>
        <v/>
      </c>
      <c r="F285" s="13" t="str">
        <f aca="false">IF($A285="","",IFERROR(INDEX(Maestro!$H:$H,MATCH($A285,Maestro!$A:$A,0))&amp;"",""))</f>
        <v/>
      </c>
      <c r="G285" s="13" t="str">
        <f aca="false">IF($A285="","",IFERROR(INDEX(Maestro!$I:$I,MATCH($A285,Maestro!$A:$A,0))&amp;"",""))</f>
        <v/>
      </c>
      <c r="H285" s="14"/>
      <c r="I285" s="11"/>
    </row>
    <row r="286" customFormat="false" ht="15" hidden="false" customHeight="false" outlineLevel="0" collapsed="false">
      <c r="A286" s="11"/>
      <c r="B286" s="12"/>
      <c r="C286" s="13" t="str">
        <f aca="false">IF($A286="","",IFERROR(INDEX(Maestro!$C:$C,MATCH($A286,Maestro!$A:$A,0)),"Código no existe"))</f>
        <v/>
      </c>
      <c r="D286" s="13" t="str">
        <f aca="false">IF($A286="","",IFERROR(INDEX(Maestro!$D:$D,MATCH($A286,Maestro!$A:$A,0))&amp;"",""))</f>
        <v/>
      </c>
      <c r="E286" s="13" t="str">
        <f aca="false">IF($A286="","",IFERROR(IF(INDEX(Maestro!$I:$I,MATCH($A286,Maestro!$A:$A,0))="Peso","Por libra",TRIM(INDEX(Maestro!$E:$E,MATCH($A286,Maestro!$A:$A,0))&amp;" "&amp;INDEX(Maestro!$F:$F,MATCH($A286,Maestro!$A:$A,0))&amp;" "&amp;INDEX(Maestro!$G:$G,MATCH($A286,Maestro!$A:$A,0)))),""))</f>
        <v/>
      </c>
      <c r="F286" s="13" t="str">
        <f aca="false">IF($A286="","",IFERROR(INDEX(Maestro!$H:$H,MATCH($A286,Maestro!$A:$A,0))&amp;"",""))</f>
        <v/>
      </c>
      <c r="G286" s="13" t="str">
        <f aca="false">IF($A286="","",IFERROR(INDEX(Maestro!$I:$I,MATCH($A286,Maestro!$A:$A,0))&amp;"",""))</f>
        <v/>
      </c>
      <c r="H286" s="14"/>
      <c r="I286" s="11"/>
    </row>
    <row r="287" customFormat="false" ht="15" hidden="false" customHeight="false" outlineLevel="0" collapsed="false">
      <c r="A287" s="11"/>
      <c r="B287" s="12"/>
      <c r="C287" s="13" t="str">
        <f aca="false">IF($A287="","",IFERROR(INDEX(Maestro!$C:$C,MATCH($A287,Maestro!$A:$A,0)),"Código no existe"))</f>
        <v/>
      </c>
      <c r="D287" s="13" t="str">
        <f aca="false">IF($A287="","",IFERROR(INDEX(Maestro!$D:$D,MATCH($A287,Maestro!$A:$A,0))&amp;"",""))</f>
        <v/>
      </c>
      <c r="E287" s="13" t="str">
        <f aca="false">IF($A287="","",IFERROR(IF(INDEX(Maestro!$I:$I,MATCH($A287,Maestro!$A:$A,0))="Peso","Por libra",TRIM(INDEX(Maestro!$E:$E,MATCH($A287,Maestro!$A:$A,0))&amp;" "&amp;INDEX(Maestro!$F:$F,MATCH($A287,Maestro!$A:$A,0))&amp;" "&amp;INDEX(Maestro!$G:$G,MATCH($A287,Maestro!$A:$A,0)))),""))</f>
        <v/>
      </c>
      <c r="F287" s="13" t="str">
        <f aca="false">IF($A287="","",IFERROR(INDEX(Maestro!$H:$H,MATCH($A287,Maestro!$A:$A,0))&amp;"",""))</f>
        <v/>
      </c>
      <c r="G287" s="13" t="str">
        <f aca="false">IF($A287="","",IFERROR(INDEX(Maestro!$I:$I,MATCH($A287,Maestro!$A:$A,0))&amp;"",""))</f>
        <v/>
      </c>
      <c r="H287" s="14"/>
      <c r="I287" s="11"/>
    </row>
    <row r="288" customFormat="false" ht="15" hidden="false" customHeight="false" outlineLevel="0" collapsed="false">
      <c r="A288" s="11"/>
      <c r="B288" s="12"/>
      <c r="C288" s="13" t="str">
        <f aca="false">IF($A288="","",IFERROR(INDEX(Maestro!$C:$C,MATCH($A288,Maestro!$A:$A,0)),"Código no existe"))</f>
        <v/>
      </c>
      <c r="D288" s="13" t="str">
        <f aca="false">IF($A288="","",IFERROR(INDEX(Maestro!$D:$D,MATCH($A288,Maestro!$A:$A,0))&amp;"",""))</f>
        <v/>
      </c>
      <c r="E288" s="13" t="str">
        <f aca="false">IF($A288="","",IFERROR(IF(INDEX(Maestro!$I:$I,MATCH($A288,Maestro!$A:$A,0))="Peso","Por libra",TRIM(INDEX(Maestro!$E:$E,MATCH($A288,Maestro!$A:$A,0))&amp;" "&amp;INDEX(Maestro!$F:$F,MATCH($A288,Maestro!$A:$A,0))&amp;" "&amp;INDEX(Maestro!$G:$G,MATCH($A288,Maestro!$A:$A,0)))),""))</f>
        <v/>
      </c>
      <c r="F288" s="13" t="str">
        <f aca="false">IF($A288="","",IFERROR(INDEX(Maestro!$H:$H,MATCH($A288,Maestro!$A:$A,0))&amp;"",""))</f>
        <v/>
      </c>
      <c r="G288" s="13" t="str">
        <f aca="false">IF($A288="","",IFERROR(INDEX(Maestro!$I:$I,MATCH($A288,Maestro!$A:$A,0))&amp;"",""))</f>
        <v/>
      </c>
      <c r="H288" s="14"/>
      <c r="I288" s="11"/>
    </row>
    <row r="289" customFormat="false" ht="15" hidden="false" customHeight="false" outlineLevel="0" collapsed="false">
      <c r="A289" s="11"/>
      <c r="B289" s="12"/>
      <c r="C289" s="13" t="str">
        <f aca="false">IF($A289="","",IFERROR(INDEX(Maestro!$C:$C,MATCH($A289,Maestro!$A:$A,0)),"Código no existe"))</f>
        <v/>
      </c>
      <c r="D289" s="13" t="str">
        <f aca="false">IF($A289="","",IFERROR(INDEX(Maestro!$D:$D,MATCH($A289,Maestro!$A:$A,0))&amp;"",""))</f>
        <v/>
      </c>
      <c r="E289" s="13" t="str">
        <f aca="false">IF($A289="","",IFERROR(IF(INDEX(Maestro!$I:$I,MATCH($A289,Maestro!$A:$A,0))="Peso","Por libra",TRIM(INDEX(Maestro!$E:$E,MATCH($A289,Maestro!$A:$A,0))&amp;" "&amp;INDEX(Maestro!$F:$F,MATCH($A289,Maestro!$A:$A,0))&amp;" "&amp;INDEX(Maestro!$G:$G,MATCH($A289,Maestro!$A:$A,0)))),""))</f>
        <v/>
      </c>
      <c r="F289" s="13" t="str">
        <f aca="false">IF($A289="","",IFERROR(INDEX(Maestro!$H:$H,MATCH($A289,Maestro!$A:$A,0))&amp;"",""))</f>
        <v/>
      </c>
      <c r="G289" s="13" t="str">
        <f aca="false">IF($A289="","",IFERROR(INDEX(Maestro!$I:$I,MATCH($A289,Maestro!$A:$A,0))&amp;"",""))</f>
        <v/>
      </c>
      <c r="H289" s="14"/>
      <c r="I289" s="11"/>
    </row>
    <row r="290" customFormat="false" ht="15" hidden="false" customHeight="false" outlineLevel="0" collapsed="false">
      <c r="A290" s="11"/>
      <c r="B290" s="12"/>
      <c r="C290" s="13" t="str">
        <f aca="false">IF($A290="","",IFERROR(INDEX(Maestro!$C:$C,MATCH($A290,Maestro!$A:$A,0)),"Código no existe"))</f>
        <v/>
      </c>
      <c r="D290" s="13" t="str">
        <f aca="false">IF($A290="","",IFERROR(INDEX(Maestro!$D:$D,MATCH($A290,Maestro!$A:$A,0))&amp;"",""))</f>
        <v/>
      </c>
      <c r="E290" s="13" t="str">
        <f aca="false">IF($A290="","",IFERROR(IF(INDEX(Maestro!$I:$I,MATCH($A290,Maestro!$A:$A,0))="Peso","Por libra",TRIM(INDEX(Maestro!$E:$E,MATCH($A290,Maestro!$A:$A,0))&amp;" "&amp;INDEX(Maestro!$F:$F,MATCH($A290,Maestro!$A:$A,0))&amp;" "&amp;INDEX(Maestro!$G:$G,MATCH($A290,Maestro!$A:$A,0)))),""))</f>
        <v/>
      </c>
      <c r="F290" s="13" t="str">
        <f aca="false">IF($A290="","",IFERROR(INDEX(Maestro!$H:$H,MATCH($A290,Maestro!$A:$A,0))&amp;"",""))</f>
        <v/>
      </c>
      <c r="G290" s="13" t="str">
        <f aca="false">IF($A290="","",IFERROR(INDEX(Maestro!$I:$I,MATCH($A290,Maestro!$A:$A,0))&amp;"",""))</f>
        <v/>
      </c>
      <c r="H290" s="14"/>
      <c r="I290" s="11"/>
    </row>
    <row r="291" customFormat="false" ht="15" hidden="false" customHeight="false" outlineLevel="0" collapsed="false">
      <c r="A291" s="11"/>
      <c r="B291" s="12"/>
      <c r="C291" s="13" t="str">
        <f aca="false">IF($A291="","",IFERROR(INDEX(Maestro!$C:$C,MATCH($A291,Maestro!$A:$A,0)),"Código no existe"))</f>
        <v/>
      </c>
      <c r="D291" s="13" t="str">
        <f aca="false">IF($A291="","",IFERROR(INDEX(Maestro!$D:$D,MATCH($A291,Maestro!$A:$A,0))&amp;"",""))</f>
        <v/>
      </c>
      <c r="E291" s="13" t="str">
        <f aca="false">IF($A291="","",IFERROR(IF(INDEX(Maestro!$I:$I,MATCH($A291,Maestro!$A:$A,0))="Peso","Por libra",TRIM(INDEX(Maestro!$E:$E,MATCH($A291,Maestro!$A:$A,0))&amp;" "&amp;INDEX(Maestro!$F:$F,MATCH($A291,Maestro!$A:$A,0))&amp;" "&amp;INDEX(Maestro!$G:$G,MATCH($A291,Maestro!$A:$A,0)))),""))</f>
        <v/>
      </c>
      <c r="F291" s="13" t="str">
        <f aca="false">IF($A291="","",IFERROR(INDEX(Maestro!$H:$H,MATCH($A291,Maestro!$A:$A,0))&amp;"",""))</f>
        <v/>
      </c>
      <c r="G291" s="13" t="str">
        <f aca="false">IF($A291="","",IFERROR(INDEX(Maestro!$I:$I,MATCH($A291,Maestro!$A:$A,0))&amp;"",""))</f>
        <v/>
      </c>
      <c r="H291" s="14"/>
      <c r="I291" s="11"/>
    </row>
    <row r="292" customFormat="false" ht="15" hidden="false" customHeight="false" outlineLevel="0" collapsed="false">
      <c r="A292" s="11"/>
      <c r="B292" s="12"/>
      <c r="C292" s="13" t="str">
        <f aca="false">IF($A292="","",IFERROR(INDEX(Maestro!$C:$C,MATCH($A292,Maestro!$A:$A,0)),"Código no existe"))</f>
        <v/>
      </c>
      <c r="D292" s="13" t="str">
        <f aca="false">IF($A292="","",IFERROR(INDEX(Maestro!$D:$D,MATCH($A292,Maestro!$A:$A,0))&amp;"",""))</f>
        <v/>
      </c>
      <c r="E292" s="13" t="str">
        <f aca="false">IF($A292="","",IFERROR(IF(INDEX(Maestro!$I:$I,MATCH($A292,Maestro!$A:$A,0))="Peso","Por libra",TRIM(INDEX(Maestro!$E:$E,MATCH($A292,Maestro!$A:$A,0))&amp;" "&amp;INDEX(Maestro!$F:$F,MATCH($A292,Maestro!$A:$A,0))&amp;" "&amp;INDEX(Maestro!$G:$G,MATCH($A292,Maestro!$A:$A,0)))),""))</f>
        <v/>
      </c>
      <c r="F292" s="13" t="str">
        <f aca="false">IF($A292="","",IFERROR(INDEX(Maestro!$H:$H,MATCH($A292,Maestro!$A:$A,0))&amp;"",""))</f>
        <v/>
      </c>
      <c r="G292" s="13" t="str">
        <f aca="false">IF($A292="","",IFERROR(INDEX(Maestro!$I:$I,MATCH($A292,Maestro!$A:$A,0))&amp;"",""))</f>
        <v/>
      </c>
      <c r="H292" s="14"/>
      <c r="I292" s="11"/>
    </row>
    <row r="293" customFormat="false" ht="15" hidden="false" customHeight="false" outlineLevel="0" collapsed="false">
      <c r="A293" s="11"/>
      <c r="B293" s="12"/>
      <c r="C293" s="13" t="str">
        <f aca="false">IF($A293="","",IFERROR(INDEX(Maestro!$C:$C,MATCH($A293,Maestro!$A:$A,0)),"Código no existe"))</f>
        <v/>
      </c>
      <c r="D293" s="13" t="str">
        <f aca="false">IF($A293="","",IFERROR(INDEX(Maestro!$D:$D,MATCH($A293,Maestro!$A:$A,0))&amp;"",""))</f>
        <v/>
      </c>
      <c r="E293" s="13" t="str">
        <f aca="false">IF($A293="","",IFERROR(IF(INDEX(Maestro!$I:$I,MATCH($A293,Maestro!$A:$A,0))="Peso","Por libra",TRIM(INDEX(Maestro!$E:$E,MATCH($A293,Maestro!$A:$A,0))&amp;" "&amp;INDEX(Maestro!$F:$F,MATCH($A293,Maestro!$A:$A,0))&amp;" "&amp;INDEX(Maestro!$G:$G,MATCH($A293,Maestro!$A:$A,0)))),""))</f>
        <v/>
      </c>
      <c r="F293" s="13" t="str">
        <f aca="false">IF($A293="","",IFERROR(INDEX(Maestro!$H:$H,MATCH($A293,Maestro!$A:$A,0))&amp;"",""))</f>
        <v/>
      </c>
      <c r="G293" s="13" t="str">
        <f aca="false">IF($A293="","",IFERROR(INDEX(Maestro!$I:$I,MATCH($A293,Maestro!$A:$A,0))&amp;"",""))</f>
        <v/>
      </c>
      <c r="H293" s="14"/>
      <c r="I293" s="11"/>
    </row>
    <row r="294" customFormat="false" ht="15" hidden="false" customHeight="false" outlineLevel="0" collapsed="false">
      <c r="A294" s="11"/>
      <c r="B294" s="12"/>
      <c r="C294" s="13" t="str">
        <f aca="false">IF($A294="","",IFERROR(INDEX(Maestro!$C:$C,MATCH($A294,Maestro!$A:$A,0)),"Código no existe"))</f>
        <v/>
      </c>
      <c r="D294" s="13" t="str">
        <f aca="false">IF($A294="","",IFERROR(INDEX(Maestro!$D:$D,MATCH($A294,Maestro!$A:$A,0))&amp;"",""))</f>
        <v/>
      </c>
      <c r="E294" s="13" t="str">
        <f aca="false">IF($A294="","",IFERROR(IF(INDEX(Maestro!$I:$I,MATCH($A294,Maestro!$A:$A,0))="Peso","Por libra",TRIM(INDEX(Maestro!$E:$E,MATCH($A294,Maestro!$A:$A,0))&amp;" "&amp;INDEX(Maestro!$F:$F,MATCH($A294,Maestro!$A:$A,0))&amp;" "&amp;INDEX(Maestro!$G:$G,MATCH($A294,Maestro!$A:$A,0)))),""))</f>
        <v/>
      </c>
      <c r="F294" s="13" t="str">
        <f aca="false">IF($A294="","",IFERROR(INDEX(Maestro!$H:$H,MATCH($A294,Maestro!$A:$A,0))&amp;"",""))</f>
        <v/>
      </c>
      <c r="G294" s="13" t="str">
        <f aca="false">IF($A294="","",IFERROR(INDEX(Maestro!$I:$I,MATCH($A294,Maestro!$A:$A,0))&amp;"",""))</f>
        <v/>
      </c>
      <c r="H294" s="14"/>
      <c r="I294" s="11"/>
    </row>
    <row r="295" customFormat="false" ht="15" hidden="false" customHeight="false" outlineLevel="0" collapsed="false">
      <c r="A295" s="11"/>
      <c r="B295" s="12"/>
      <c r="C295" s="13" t="str">
        <f aca="false">IF($A295="","",IFERROR(INDEX(Maestro!$C:$C,MATCH($A295,Maestro!$A:$A,0)),"Código no existe"))</f>
        <v/>
      </c>
      <c r="D295" s="13" t="str">
        <f aca="false">IF($A295="","",IFERROR(INDEX(Maestro!$D:$D,MATCH($A295,Maestro!$A:$A,0))&amp;"",""))</f>
        <v/>
      </c>
      <c r="E295" s="13" t="str">
        <f aca="false">IF($A295="","",IFERROR(IF(INDEX(Maestro!$I:$I,MATCH($A295,Maestro!$A:$A,0))="Peso","Por libra",TRIM(INDEX(Maestro!$E:$E,MATCH($A295,Maestro!$A:$A,0))&amp;" "&amp;INDEX(Maestro!$F:$F,MATCH($A295,Maestro!$A:$A,0))&amp;" "&amp;INDEX(Maestro!$G:$G,MATCH($A295,Maestro!$A:$A,0)))),""))</f>
        <v/>
      </c>
      <c r="F295" s="13" t="str">
        <f aca="false">IF($A295="","",IFERROR(INDEX(Maestro!$H:$H,MATCH($A295,Maestro!$A:$A,0))&amp;"",""))</f>
        <v/>
      </c>
      <c r="G295" s="13" t="str">
        <f aca="false">IF($A295="","",IFERROR(INDEX(Maestro!$I:$I,MATCH($A295,Maestro!$A:$A,0))&amp;"",""))</f>
        <v/>
      </c>
      <c r="H295" s="14"/>
      <c r="I295" s="11"/>
    </row>
    <row r="296" customFormat="false" ht="15" hidden="false" customHeight="false" outlineLevel="0" collapsed="false">
      <c r="A296" s="11"/>
      <c r="B296" s="12"/>
      <c r="C296" s="13" t="str">
        <f aca="false">IF($A296="","",IFERROR(INDEX(Maestro!$C:$C,MATCH($A296,Maestro!$A:$A,0)),"Código no existe"))</f>
        <v/>
      </c>
      <c r="D296" s="13" t="str">
        <f aca="false">IF($A296="","",IFERROR(INDEX(Maestro!$D:$D,MATCH($A296,Maestro!$A:$A,0))&amp;"",""))</f>
        <v/>
      </c>
      <c r="E296" s="13" t="str">
        <f aca="false">IF($A296="","",IFERROR(IF(INDEX(Maestro!$I:$I,MATCH($A296,Maestro!$A:$A,0))="Peso","Por libra",TRIM(INDEX(Maestro!$E:$E,MATCH($A296,Maestro!$A:$A,0))&amp;" "&amp;INDEX(Maestro!$F:$F,MATCH($A296,Maestro!$A:$A,0))&amp;" "&amp;INDEX(Maestro!$G:$G,MATCH($A296,Maestro!$A:$A,0)))),""))</f>
        <v/>
      </c>
      <c r="F296" s="13" t="str">
        <f aca="false">IF($A296="","",IFERROR(INDEX(Maestro!$H:$H,MATCH($A296,Maestro!$A:$A,0))&amp;"",""))</f>
        <v/>
      </c>
      <c r="G296" s="13" t="str">
        <f aca="false">IF($A296="","",IFERROR(INDEX(Maestro!$I:$I,MATCH($A296,Maestro!$A:$A,0))&amp;"",""))</f>
        <v/>
      </c>
      <c r="H296" s="14"/>
      <c r="I296" s="11"/>
    </row>
    <row r="297" customFormat="false" ht="15" hidden="false" customHeight="false" outlineLevel="0" collapsed="false">
      <c r="A297" s="11"/>
      <c r="B297" s="12"/>
      <c r="C297" s="13" t="str">
        <f aca="false">IF($A297="","",IFERROR(INDEX(Maestro!$C:$C,MATCH($A297,Maestro!$A:$A,0)),"Código no existe"))</f>
        <v/>
      </c>
      <c r="D297" s="13" t="str">
        <f aca="false">IF($A297="","",IFERROR(INDEX(Maestro!$D:$D,MATCH($A297,Maestro!$A:$A,0))&amp;"",""))</f>
        <v/>
      </c>
      <c r="E297" s="13" t="str">
        <f aca="false">IF($A297="","",IFERROR(IF(INDEX(Maestro!$I:$I,MATCH($A297,Maestro!$A:$A,0))="Peso","Por libra",TRIM(INDEX(Maestro!$E:$E,MATCH($A297,Maestro!$A:$A,0))&amp;" "&amp;INDEX(Maestro!$F:$F,MATCH($A297,Maestro!$A:$A,0))&amp;" "&amp;INDEX(Maestro!$G:$G,MATCH($A297,Maestro!$A:$A,0)))),""))</f>
        <v/>
      </c>
      <c r="F297" s="13" t="str">
        <f aca="false">IF($A297="","",IFERROR(INDEX(Maestro!$H:$H,MATCH($A297,Maestro!$A:$A,0))&amp;"",""))</f>
        <v/>
      </c>
      <c r="G297" s="13" t="str">
        <f aca="false">IF($A297="","",IFERROR(INDEX(Maestro!$I:$I,MATCH($A297,Maestro!$A:$A,0))&amp;"",""))</f>
        <v/>
      </c>
      <c r="H297" s="14"/>
      <c r="I297" s="11"/>
    </row>
    <row r="298" customFormat="false" ht="15" hidden="false" customHeight="false" outlineLevel="0" collapsed="false">
      <c r="A298" s="11"/>
      <c r="B298" s="12"/>
      <c r="C298" s="13" t="str">
        <f aca="false">IF($A298="","",IFERROR(INDEX(Maestro!$C:$C,MATCH($A298,Maestro!$A:$A,0)),"Código no existe"))</f>
        <v/>
      </c>
      <c r="D298" s="13" t="str">
        <f aca="false">IF($A298="","",IFERROR(INDEX(Maestro!$D:$D,MATCH($A298,Maestro!$A:$A,0))&amp;"",""))</f>
        <v/>
      </c>
      <c r="E298" s="13" t="str">
        <f aca="false">IF($A298="","",IFERROR(IF(INDEX(Maestro!$I:$I,MATCH($A298,Maestro!$A:$A,0))="Peso","Por libra",TRIM(INDEX(Maestro!$E:$E,MATCH($A298,Maestro!$A:$A,0))&amp;" "&amp;INDEX(Maestro!$F:$F,MATCH($A298,Maestro!$A:$A,0))&amp;" "&amp;INDEX(Maestro!$G:$G,MATCH($A298,Maestro!$A:$A,0)))),""))</f>
        <v/>
      </c>
      <c r="F298" s="13" t="str">
        <f aca="false">IF($A298="","",IFERROR(INDEX(Maestro!$H:$H,MATCH($A298,Maestro!$A:$A,0))&amp;"",""))</f>
        <v/>
      </c>
      <c r="G298" s="13" t="str">
        <f aca="false">IF($A298="","",IFERROR(INDEX(Maestro!$I:$I,MATCH($A298,Maestro!$A:$A,0))&amp;"",""))</f>
        <v/>
      </c>
      <c r="H298" s="14"/>
      <c r="I298" s="11"/>
    </row>
    <row r="299" customFormat="false" ht="15" hidden="false" customHeight="false" outlineLevel="0" collapsed="false">
      <c r="A299" s="11"/>
      <c r="B299" s="12"/>
      <c r="C299" s="13" t="str">
        <f aca="false">IF($A299="","",IFERROR(INDEX(Maestro!$C:$C,MATCH($A299,Maestro!$A:$A,0)),"Código no existe"))</f>
        <v/>
      </c>
      <c r="D299" s="13" t="str">
        <f aca="false">IF($A299="","",IFERROR(INDEX(Maestro!$D:$D,MATCH($A299,Maestro!$A:$A,0))&amp;"",""))</f>
        <v/>
      </c>
      <c r="E299" s="13" t="str">
        <f aca="false">IF($A299="","",IFERROR(IF(INDEX(Maestro!$I:$I,MATCH($A299,Maestro!$A:$A,0))="Peso","Por libra",TRIM(INDEX(Maestro!$E:$E,MATCH($A299,Maestro!$A:$A,0))&amp;" "&amp;INDEX(Maestro!$F:$F,MATCH($A299,Maestro!$A:$A,0))&amp;" "&amp;INDEX(Maestro!$G:$G,MATCH($A299,Maestro!$A:$A,0)))),""))</f>
        <v/>
      </c>
      <c r="F299" s="13" t="str">
        <f aca="false">IF($A299="","",IFERROR(INDEX(Maestro!$H:$H,MATCH($A299,Maestro!$A:$A,0))&amp;"",""))</f>
        <v/>
      </c>
      <c r="G299" s="13" t="str">
        <f aca="false">IF($A299="","",IFERROR(INDEX(Maestro!$I:$I,MATCH($A299,Maestro!$A:$A,0))&amp;"",""))</f>
        <v/>
      </c>
      <c r="H299" s="14"/>
      <c r="I299" s="11"/>
    </row>
    <row r="300" customFormat="false" ht="15" hidden="false" customHeight="false" outlineLevel="0" collapsed="false">
      <c r="A300" s="11"/>
      <c r="B300" s="12"/>
      <c r="C300" s="13" t="str">
        <f aca="false">IF($A300="","",IFERROR(INDEX(Maestro!$C:$C,MATCH($A300,Maestro!$A:$A,0)),"Código no existe"))</f>
        <v/>
      </c>
      <c r="D300" s="13" t="str">
        <f aca="false">IF($A300="","",IFERROR(INDEX(Maestro!$D:$D,MATCH($A300,Maestro!$A:$A,0))&amp;"",""))</f>
        <v/>
      </c>
      <c r="E300" s="13" t="str">
        <f aca="false">IF($A300="","",IFERROR(IF(INDEX(Maestro!$I:$I,MATCH($A300,Maestro!$A:$A,0))="Peso","Por libra",TRIM(INDEX(Maestro!$E:$E,MATCH($A300,Maestro!$A:$A,0))&amp;" "&amp;INDEX(Maestro!$F:$F,MATCH($A300,Maestro!$A:$A,0))&amp;" "&amp;INDEX(Maestro!$G:$G,MATCH($A300,Maestro!$A:$A,0)))),""))</f>
        <v/>
      </c>
      <c r="F300" s="13" t="str">
        <f aca="false">IF($A300="","",IFERROR(INDEX(Maestro!$H:$H,MATCH($A300,Maestro!$A:$A,0))&amp;"",""))</f>
        <v/>
      </c>
      <c r="G300" s="13" t="str">
        <f aca="false">IF($A300="","",IFERROR(INDEX(Maestro!$I:$I,MATCH($A300,Maestro!$A:$A,0))&amp;"",""))</f>
        <v/>
      </c>
      <c r="H300" s="14"/>
      <c r="I300" s="11"/>
    </row>
  </sheetData>
  <autoFilter ref="A1:I300"/>
  <dataValidations count="2">
    <dataValidation allowBlank="true" errorStyle="stop" operator="between" showDropDown="false" showErrorMessage="false" showInputMessage="false" sqref="A2:A300" type="list">
      <formula1>Maestro!$A$2:$A$300</formula1>
      <formula2>0</formula2>
    </dataValidation>
    <dataValidation allowBlank="true" errorStyle="stop" operator="between" showDropDown="false" showErrorMessage="false" showInputMessage="false" sqref="I2:I300" type="list">
      <formula1>Listas!$F$2:$F$200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2026-10-05T03:46:07Z</dcterms:created>
  <dc:creator>openpyxl</dc:creator>
  <dc:description/>
  <dc:language>en-US</dc:language>
  <cp:lastModifiedBy/>
  <dcterms:modified xsi:type="dcterms:W3CDTF">2026-10-05T04:06:44Z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